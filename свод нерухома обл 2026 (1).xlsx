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ornyi_YV\Downloads\"/>
    </mc:Choice>
  </mc:AlternateContent>
  <xr:revisionPtr revIDLastSave="0" documentId="13_ncr:1_{2AE1F235-6CBF-472B-8064-9F6E871196DC}" xr6:coauthVersionLast="47" xr6:coauthVersionMax="47" xr10:uidLastSave="{00000000-0000-0000-0000-000000000000}"/>
  <bookViews>
    <workbookView xWindow="-108" yWindow="-108" windowWidth="23256" windowHeight="13176" xr2:uid="{DEE7A5BA-3B5E-4257-9343-F01CC53D233F}"/>
  </bookViews>
  <sheets>
    <sheet name="Аркуш1" sheetId="1" r:id="rId1"/>
  </sheets>
  <definedNames>
    <definedName name="_Hlk137116795" localSheetId="0">Аркуш1!$B$10</definedName>
    <definedName name="_Hlk137116812" localSheetId="0">Аркуш1!$B$11</definedName>
    <definedName name="_Hlk137116834" localSheetId="0">Аркуш1!$B$12</definedName>
    <definedName name="_Hlk137116850" localSheetId="0">Аркуш1!$B$13</definedName>
    <definedName name="_Hlk137116867" localSheetId="0">Аркуш1!$B$14</definedName>
    <definedName name="_Hlk137116896" localSheetId="0">Аркуш1!$B$15</definedName>
    <definedName name="_Hlk137116911" localSheetId="0">Аркуш1!$B$16</definedName>
    <definedName name="_Hlk137116926" localSheetId="0">Аркуш1!$B$17</definedName>
    <definedName name="_Hlk137116944" localSheetId="0">Аркуш1!$B$18</definedName>
    <definedName name="_Hlk137116959" localSheetId="0">Аркуш1!$B$19</definedName>
    <definedName name="_Hlk137116973" localSheetId="0">Аркуш1!$B$20</definedName>
    <definedName name="_Hlk137117034" localSheetId="0">Аркуш1!$B$23</definedName>
    <definedName name="_Hlk137117049" localSheetId="0">Аркуш1!$B$24</definedName>
    <definedName name="_Hlk137117074" localSheetId="0">Аркуш1!$B$25</definedName>
    <definedName name="_Hlk137117100" localSheetId="0">Аркуш1!$B$26</definedName>
    <definedName name="_Hlk137117118" localSheetId="0">Аркуш1!$B$27</definedName>
    <definedName name="_xlnm.Print_Area" localSheetId="0">Аркуш1!$A$1:$M$32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8" i="1" l="1"/>
  <c r="L28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3" i="1"/>
  <c r="M28" i="1"/>
  <c r="J28" i="1"/>
  <c r="I28" i="1"/>
  <c r="H28" i="1"/>
  <c r="G28" i="1"/>
  <c r="F28" i="1"/>
  <c r="C28" i="1"/>
  <c r="N28" i="1" l="1"/>
  <c r="M32" i="1"/>
  <c r="N32" i="1" s="1"/>
  <c r="N31" i="1"/>
  <c r="N30" i="1"/>
  <c r="N29" i="1"/>
  <c r="G30" i="1"/>
  <c r="H30" i="1"/>
</calcChain>
</file>

<file path=xl/sharedStrings.xml><?xml version="1.0" encoding="utf-8"?>
<sst xmlns="http://schemas.openxmlformats.org/spreadsheetml/2006/main" count="45" uniqueCount="37">
  <si>
    <t>Вінницька обл.</t>
  </si>
  <si>
    <t>Волинська обл.</t>
  </si>
  <si>
    <t>Донецька обл.</t>
  </si>
  <si>
    <t>Житомирська обл.</t>
  </si>
  <si>
    <t>Закарпатська обл.</t>
  </si>
  <si>
    <t>Запорізька обл.</t>
  </si>
  <si>
    <t>Івано-Франківська обл.</t>
  </si>
  <si>
    <t>Київська обл.</t>
  </si>
  <si>
    <t>Кіровоградська обл.</t>
  </si>
  <si>
    <t>Луганська обл.</t>
  </si>
  <si>
    <t>Львівська обл.</t>
  </si>
  <si>
    <t>Миколаївська обл.</t>
  </si>
  <si>
    <t>Одеська обл.</t>
  </si>
  <si>
    <t>Полтавська обл.</t>
  </si>
  <si>
    <t>Рівненська обл.</t>
  </si>
  <si>
    <t>Сумська обл.</t>
  </si>
  <si>
    <t>Тернопільська обл.</t>
  </si>
  <si>
    <t>Харківська обл.</t>
  </si>
  <si>
    <t>Херсонська обл.</t>
  </si>
  <si>
    <t>Хмельницька обл.</t>
  </si>
  <si>
    <t>Черкаська обл.</t>
  </si>
  <si>
    <t>Чернівецька обл.</t>
  </si>
  <si>
    <t>Чернігівська обл.</t>
  </si>
  <si>
    <t>м. Київ</t>
  </si>
  <si>
    <t>Регіон</t>
  </si>
  <si>
    <t>№ з/п</t>
  </si>
  <si>
    <t>Кількість карток національного значення в ЄПам'ятка</t>
  </si>
  <si>
    <t>Дата</t>
  </si>
  <si>
    <t>Дніпропетровська обл.</t>
  </si>
  <si>
    <t>Всього</t>
  </si>
  <si>
    <t>Документи</t>
  </si>
  <si>
    <t>Кількість об'єктів національного значення в Реєстрі (на сайті Мінкульту)</t>
  </si>
  <si>
    <t>Відс.</t>
  </si>
  <si>
    <t>всього нац значення</t>
  </si>
  <si>
    <t>Кількість чернеток національного значення</t>
  </si>
  <si>
    <t>Кількість чернеток всього</t>
  </si>
  <si>
    <t>відсоток карток національного значення до Державного реєстру нерухомих пам'яток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</si>
</sst>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/>
    <xf numFmtId="0" fontId="2" fillId="0" borderId="1" xfId="0" applyFont="1" applyBorder="1"/>
    <xf numFmtId="0" fontId="1" fillId="0" borderId="1" xfId="0" applyFont="1" applyBorder="1" applyAlignment="1">
      <alignment vertical="center" wrapText="1"/>
    </xf>
    <xf numFmtId="0" fontId="1" fillId="0" borderId="1" xfId="0" applyFont="1" applyBorder="1"/>
    <xf numFmtId="0" fontId="3" fillId="0" borderId="1" xfId="0" applyFont="1" applyBorder="1" applyAlignment="1">
      <alignment wrapText="1"/>
    </xf>
    <xf numFmtId="14" fontId="3" fillId="0" borderId="1" xfId="0" applyNumberFormat="1" applyFont="1" applyBorder="1" applyAlignment="1">
      <alignment horizontal="center" vertical="center"/>
    </xf>
    <xf numFmtId="0" fontId="0" fillId="2" borderId="1" xfId="0" applyFill="1" applyBorder="1"/>
    <xf numFmtId="0" fontId="1" fillId="2" borderId="1" xfId="0" applyFont="1" applyFill="1" applyBorder="1"/>
    <xf numFmtId="0" fontId="0" fillId="2" borderId="0" xfId="0" applyFill="1"/>
    <xf numFmtId="14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0" fillId="3" borderId="1" xfId="0" applyFill="1" applyBorder="1"/>
    <xf numFmtId="0" fontId="1" fillId="3" borderId="1" xfId="0" applyFont="1" applyFill="1" applyBorder="1"/>
    <xf numFmtId="0" fontId="0" fillId="3" borderId="0" xfId="0" applyFill="1"/>
    <xf numFmtId="14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4" fillId="0" borderId="1" xfId="0" applyFont="1" applyBorder="1"/>
    <xf numFmtId="0" fontId="4" fillId="3" borderId="1" xfId="0" applyFont="1" applyFill="1" applyBorder="1"/>
    <xf numFmtId="0" fontId="4" fillId="2" borderId="1" xfId="0" applyFont="1" applyFill="1" applyBorder="1"/>
    <xf numFmtId="14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4" fillId="4" borderId="2" xfId="0" applyFont="1" applyFill="1" applyBorder="1" applyAlignment="1">
      <alignment horizontal="right" wrapText="1"/>
    </xf>
    <xf numFmtId="0" fontId="4" fillId="4" borderId="1" xfId="0" applyFont="1" applyFill="1" applyBorder="1" applyAlignment="1">
      <alignment horizontal="right" wrapText="1"/>
    </xf>
    <xf numFmtId="0" fontId="4" fillId="4" borderId="3" xfId="0" applyFont="1" applyFill="1" applyBorder="1" applyAlignment="1">
      <alignment horizontal="right" wrapText="1"/>
    </xf>
    <xf numFmtId="0" fontId="4" fillId="3" borderId="3" xfId="0" applyFont="1" applyFill="1" applyBorder="1" applyAlignment="1">
      <alignment horizontal="right" wrapText="1"/>
    </xf>
    <xf numFmtId="0" fontId="4" fillId="3" borderId="1" xfId="0" applyFont="1" applyFill="1" applyBorder="1" applyAlignment="1">
      <alignment horizontal="right" wrapText="1"/>
    </xf>
    <xf numFmtId="0" fontId="4" fillId="2" borderId="3" xfId="0" applyFont="1" applyFill="1" applyBorder="1" applyAlignment="1">
      <alignment horizontal="right" wrapText="1"/>
    </xf>
    <xf numFmtId="0" fontId="4" fillId="2" borderId="1" xfId="0" applyFont="1" applyFill="1" applyBorder="1" applyAlignment="1">
      <alignment horizontal="right" wrapText="1"/>
    </xf>
    <xf numFmtId="0" fontId="0" fillId="0" borderId="1" xfId="0" applyBorder="1" applyAlignment="1"/>
    <xf numFmtId="14" fontId="3" fillId="0" borderId="1" xfId="0" applyNumberFormat="1" applyFont="1" applyBorder="1" applyAlignment="1">
      <alignment horizontal="center" vertical="center"/>
    </xf>
    <xf numFmtId="14" fontId="3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wrapText="1"/>
    </xf>
    <xf numFmtId="0" fontId="4" fillId="5" borderId="1" xfId="0" applyFont="1" applyFill="1" applyBorder="1"/>
    <xf numFmtId="0" fontId="4" fillId="5" borderId="1" xfId="0" applyFont="1" applyFill="1" applyBorder="1" applyAlignment="1">
      <alignment horizontal="right" wrapText="1"/>
    </xf>
    <xf numFmtId="0" fontId="0" fillId="5" borderId="0" xfId="0" applyFill="1"/>
    <xf numFmtId="2" fontId="4" fillId="5" borderId="1" xfId="0" applyNumberFormat="1" applyFont="1" applyFill="1" applyBorder="1"/>
    <xf numFmtId="0" fontId="0" fillId="5" borderId="1" xfId="0" applyFill="1" applyBorder="1"/>
    <xf numFmtId="164" fontId="5" fillId="5" borderId="1" xfId="0" applyNumberFormat="1" applyFont="1" applyFill="1" applyBorder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&quot;Office 2013 – 2022&quot;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282CB-65B2-4CC7-983E-39A9BF068C4E}">
  <dimension ref="A1:O32"/>
  <sheetViews>
    <sheetView tabSelected="1" zoomScaleNormal="100" workbookViewId="0">
      <pane xSplit="4" ySplit="5" topLeftCell="K20" activePane="bottomRight" state="frozen"/>
      <selection pane="topRight" activeCell="F1" sqref="F1"/>
      <selection pane="bottomLeft" activeCell="A6" sqref="A6"/>
      <selection pane="bottomRight" activeCell="P26" sqref="P26"/>
    </sheetView>
  </sheetViews>
  <sheetFormatPr defaultRowHeight="14.4" x14ac:dyDescent="0.3"/>
  <cols>
    <col min="1" max="1" width="6.5546875" customWidth="1"/>
    <col min="2" max="2" width="27.6640625" customWidth="1"/>
    <col min="3" max="3" width="19.44140625" style="35" customWidth="1"/>
    <col min="4" max="4" width="21.88671875" hidden="1" customWidth="1"/>
    <col min="5" max="5" width="20.6640625" hidden="1" customWidth="1"/>
    <col min="6" max="6" width="19.88671875" hidden="1" customWidth="1"/>
    <col min="7" max="7" width="18.88671875" hidden="1" customWidth="1"/>
    <col min="8" max="10" width="20.6640625" hidden="1" customWidth="1"/>
    <col min="11" max="13" width="20.6640625" style="35" customWidth="1"/>
    <col min="14" max="14" width="28.44140625" style="35" customWidth="1"/>
  </cols>
  <sheetData>
    <row r="1" spans="1:15" ht="46.8" customHeight="1" x14ac:dyDescent="0.35">
      <c r="A1" s="1"/>
      <c r="B1" s="2" t="s">
        <v>27</v>
      </c>
      <c r="C1" s="30">
        <v>46232</v>
      </c>
      <c r="D1" s="6">
        <v>46084</v>
      </c>
      <c r="E1" s="10">
        <v>46085</v>
      </c>
      <c r="F1" s="11">
        <v>46090</v>
      </c>
      <c r="G1" s="15">
        <v>46093</v>
      </c>
      <c r="H1" s="16">
        <v>46097</v>
      </c>
      <c r="I1" s="20">
        <v>46100</v>
      </c>
      <c r="J1" s="21">
        <v>46104</v>
      </c>
      <c r="K1" s="31">
        <v>46232</v>
      </c>
      <c r="L1" s="31">
        <v>46232</v>
      </c>
      <c r="M1" s="31">
        <v>46232</v>
      </c>
      <c r="N1" s="32" t="s">
        <v>36</v>
      </c>
      <c r="O1" s="29"/>
    </row>
    <row r="2" spans="1:15" ht="79.2" thickBot="1" x14ac:dyDescent="0.4">
      <c r="A2" s="1" t="s">
        <v>25</v>
      </c>
      <c r="B2" s="2" t="s">
        <v>24</v>
      </c>
      <c r="C2" s="32" t="s">
        <v>31</v>
      </c>
      <c r="D2" s="5" t="s">
        <v>26</v>
      </c>
      <c r="E2" s="5" t="s">
        <v>26</v>
      </c>
      <c r="F2" s="5" t="s">
        <v>26</v>
      </c>
      <c r="G2" s="5" t="s">
        <v>26</v>
      </c>
      <c r="H2" s="5" t="s">
        <v>26</v>
      </c>
      <c r="I2" s="5" t="s">
        <v>26</v>
      </c>
      <c r="J2" s="5" t="s">
        <v>26</v>
      </c>
      <c r="K2" s="32" t="s">
        <v>35</v>
      </c>
      <c r="L2" s="32" t="s">
        <v>34</v>
      </c>
      <c r="M2" s="32" t="s">
        <v>26</v>
      </c>
      <c r="N2" s="37"/>
    </row>
    <row r="3" spans="1:15" ht="18.600000000000001" thickBot="1" x14ac:dyDescent="0.4">
      <c r="A3" s="1">
        <v>1</v>
      </c>
      <c r="B3" s="3" t="s">
        <v>0</v>
      </c>
      <c r="C3" s="33">
        <v>116</v>
      </c>
      <c r="D3" s="17"/>
      <c r="E3" s="17">
        <v>82</v>
      </c>
      <c r="F3" s="17">
        <v>97</v>
      </c>
      <c r="G3" s="17">
        <v>109</v>
      </c>
      <c r="H3" s="17">
        <v>109</v>
      </c>
      <c r="I3" s="22">
        <v>109</v>
      </c>
      <c r="J3" s="23">
        <v>109</v>
      </c>
      <c r="K3" s="33">
        <v>4425</v>
      </c>
      <c r="L3" s="33">
        <v>108</v>
      </c>
      <c r="M3" s="33">
        <v>10</v>
      </c>
      <c r="N3" s="38">
        <f>M3/C3*100</f>
        <v>8.6206896551724146</v>
      </c>
    </row>
    <row r="4" spans="1:15" ht="18.600000000000001" thickBot="1" x14ac:dyDescent="0.4">
      <c r="A4" s="1">
        <v>2</v>
      </c>
      <c r="B4" s="4" t="s">
        <v>1</v>
      </c>
      <c r="C4" s="33">
        <v>158</v>
      </c>
      <c r="D4" s="17"/>
      <c r="E4" s="17">
        <v>164</v>
      </c>
      <c r="F4" s="17">
        <v>165</v>
      </c>
      <c r="G4" s="17">
        <v>165</v>
      </c>
      <c r="H4" s="17">
        <v>165</v>
      </c>
      <c r="I4" s="24">
        <v>165</v>
      </c>
      <c r="J4" s="23">
        <v>165</v>
      </c>
      <c r="K4" s="33">
        <v>1353</v>
      </c>
      <c r="L4" s="33">
        <v>10</v>
      </c>
      <c r="M4" s="33">
        <v>164</v>
      </c>
      <c r="N4" s="38">
        <f>M4/C4*100</f>
        <v>103.79746835443038</v>
      </c>
    </row>
    <row r="5" spans="1:15" s="14" customFormat="1" ht="18.600000000000001" thickBot="1" x14ac:dyDescent="0.4">
      <c r="A5" s="12">
        <v>3</v>
      </c>
      <c r="B5" s="13" t="s">
        <v>28</v>
      </c>
      <c r="C5" s="33">
        <v>53</v>
      </c>
      <c r="D5" s="18">
        <v>5</v>
      </c>
      <c r="E5" s="18">
        <v>6</v>
      </c>
      <c r="F5" s="18">
        <v>53</v>
      </c>
      <c r="G5" s="18">
        <v>53</v>
      </c>
      <c r="H5" s="18">
        <v>53</v>
      </c>
      <c r="I5" s="24">
        <v>53</v>
      </c>
      <c r="J5" s="23">
        <v>53</v>
      </c>
      <c r="K5" s="33">
        <v>9305</v>
      </c>
      <c r="L5" s="33">
        <v>0</v>
      </c>
      <c r="M5" s="33">
        <v>53</v>
      </c>
      <c r="N5" s="38">
        <f>M5/C5*100</f>
        <v>100</v>
      </c>
    </row>
    <row r="6" spans="1:15" s="14" customFormat="1" ht="21.6" customHeight="1" thickBot="1" x14ac:dyDescent="0.4">
      <c r="A6" s="12">
        <v>4</v>
      </c>
      <c r="B6" s="13" t="s">
        <v>2</v>
      </c>
      <c r="C6" s="33">
        <v>27</v>
      </c>
      <c r="D6" s="18">
        <v>0</v>
      </c>
      <c r="E6" s="18"/>
      <c r="F6" s="18">
        <v>0</v>
      </c>
      <c r="G6" s="18">
        <v>18</v>
      </c>
      <c r="H6" s="18">
        <v>18</v>
      </c>
      <c r="I6" s="24">
        <v>18</v>
      </c>
      <c r="J6" s="23">
        <v>18</v>
      </c>
      <c r="K6" s="33">
        <v>6701</v>
      </c>
      <c r="L6" s="33">
        <v>2</v>
      </c>
      <c r="M6" s="33">
        <v>18</v>
      </c>
      <c r="N6" s="38">
        <f>M6/C6*100</f>
        <v>66.666666666666657</v>
      </c>
    </row>
    <row r="7" spans="1:15" ht="18.600000000000001" thickBot="1" x14ac:dyDescent="0.4">
      <c r="A7" s="1">
        <v>5</v>
      </c>
      <c r="B7" s="4" t="s">
        <v>3</v>
      </c>
      <c r="C7" s="33">
        <v>59</v>
      </c>
      <c r="D7" s="17"/>
      <c r="E7" s="17">
        <v>34</v>
      </c>
      <c r="F7" s="17">
        <v>41</v>
      </c>
      <c r="G7" s="17">
        <v>41</v>
      </c>
      <c r="H7" s="17">
        <v>40</v>
      </c>
      <c r="I7" s="24">
        <v>44</v>
      </c>
      <c r="J7" s="23">
        <v>44</v>
      </c>
      <c r="K7" s="33">
        <v>3449</v>
      </c>
      <c r="L7" s="33">
        <v>54</v>
      </c>
      <c r="M7" s="33">
        <v>30</v>
      </c>
      <c r="N7" s="38">
        <f>M7/C7*100</f>
        <v>50.847457627118644</v>
      </c>
    </row>
    <row r="8" spans="1:15" ht="18.600000000000001" thickBot="1" x14ac:dyDescent="0.4">
      <c r="A8" s="1">
        <v>6</v>
      </c>
      <c r="B8" s="4" t="s">
        <v>4</v>
      </c>
      <c r="C8" s="33">
        <v>140</v>
      </c>
      <c r="D8" s="17"/>
      <c r="E8" s="17">
        <v>3</v>
      </c>
      <c r="F8" s="17">
        <v>3</v>
      </c>
      <c r="G8" s="17">
        <v>3</v>
      </c>
      <c r="H8" s="17">
        <v>3</v>
      </c>
      <c r="I8" s="24">
        <v>3</v>
      </c>
      <c r="J8" s="23">
        <v>3</v>
      </c>
      <c r="K8" s="33">
        <v>1372</v>
      </c>
      <c r="L8" s="33">
        <v>87</v>
      </c>
      <c r="M8" s="33">
        <v>3</v>
      </c>
      <c r="N8" s="38">
        <f>M8/C8*100</f>
        <v>2.1428571428571428</v>
      </c>
    </row>
    <row r="9" spans="1:15" ht="34.200000000000003" customHeight="1" thickBot="1" x14ac:dyDescent="0.4">
      <c r="A9" s="1">
        <v>7</v>
      </c>
      <c r="B9" s="4" t="s">
        <v>5</v>
      </c>
      <c r="C9" s="33">
        <v>16</v>
      </c>
      <c r="D9" s="17"/>
      <c r="E9" s="17">
        <v>6</v>
      </c>
      <c r="F9" s="17">
        <v>6</v>
      </c>
      <c r="G9" s="17">
        <v>6</v>
      </c>
      <c r="H9" s="17">
        <v>6</v>
      </c>
      <c r="I9" s="24">
        <v>7</v>
      </c>
      <c r="J9" s="23">
        <v>7</v>
      </c>
      <c r="K9" s="33">
        <v>3364</v>
      </c>
      <c r="L9" s="33">
        <v>11</v>
      </c>
      <c r="M9" s="33">
        <v>8</v>
      </c>
      <c r="N9" s="38">
        <f>M9/C9*100</f>
        <v>50</v>
      </c>
    </row>
    <row r="10" spans="1:15" ht="36" customHeight="1" thickBot="1" x14ac:dyDescent="0.4">
      <c r="A10" s="1">
        <v>8</v>
      </c>
      <c r="B10" s="4" t="s">
        <v>6</v>
      </c>
      <c r="C10" s="33">
        <v>107</v>
      </c>
      <c r="D10" s="17"/>
      <c r="E10" s="17">
        <v>1</v>
      </c>
      <c r="F10" s="17">
        <v>4</v>
      </c>
      <c r="G10" s="18">
        <v>5</v>
      </c>
      <c r="H10" s="18">
        <v>5</v>
      </c>
      <c r="I10" s="24">
        <v>5</v>
      </c>
      <c r="J10" s="23">
        <v>5</v>
      </c>
      <c r="K10" s="33">
        <v>3478</v>
      </c>
      <c r="L10" s="33">
        <v>119</v>
      </c>
      <c r="M10" s="33">
        <v>5</v>
      </c>
      <c r="N10" s="38">
        <f>M10/C10*100</f>
        <v>4.6728971962616823</v>
      </c>
    </row>
    <row r="11" spans="1:15" s="14" customFormat="1" ht="18.600000000000001" thickBot="1" x14ac:dyDescent="0.4">
      <c r="A11" s="12">
        <v>9</v>
      </c>
      <c r="B11" s="13" t="s">
        <v>7</v>
      </c>
      <c r="C11" s="33">
        <v>38</v>
      </c>
      <c r="D11" s="18"/>
      <c r="E11" s="18"/>
      <c r="F11" s="18">
        <v>37</v>
      </c>
      <c r="G11" s="18">
        <v>37</v>
      </c>
      <c r="H11" s="18">
        <v>37</v>
      </c>
      <c r="I11" s="24">
        <v>37</v>
      </c>
      <c r="J11" s="23">
        <v>37</v>
      </c>
      <c r="K11" s="33">
        <v>3751</v>
      </c>
      <c r="L11" s="33">
        <v>114</v>
      </c>
      <c r="M11" s="33">
        <v>38</v>
      </c>
      <c r="N11" s="38">
        <f>M11/C11*100</f>
        <v>100</v>
      </c>
    </row>
    <row r="12" spans="1:15" s="14" customFormat="1" ht="18.600000000000001" thickBot="1" x14ac:dyDescent="0.4">
      <c r="A12" s="12">
        <v>10</v>
      </c>
      <c r="B12" s="13" t="s">
        <v>8</v>
      </c>
      <c r="C12" s="33">
        <v>15</v>
      </c>
      <c r="D12" s="18"/>
      <c r="E12" s="18"/>
      <c r="F12" s="18">
        <v>0</v>
      </c>
      <c r="G12" s="18">
        <v>1</v>
      </c>
      <c r="H12" s="18">
        <v>1</v>
      </c>
      <c r="I12" s="25">
        <v>1</v>
      </c>
      <c r="J12" s="26">
        <v>1</v>
      </c>
      <c r="K12" s="33">
        <v>5323</v>
      </c>
      <c r="L12" s="33">
        <v>2</v>
      </c>
      <c r="M12" s="33">
        <v>19</v>
      </c>
      <c r="N12" s="38">
        <f>M12/C12*100</f>
        <v>126.66666666666666</v>
      </c>
    </row>
    <row r="13" spans="1:15" ht="18.600000000000001" thickBot="1" x14ac:dyDescent="0.4">
      <c r="A13" s="1">
        <v>11</v>
      </c>
      <c r="B13" s="4" t="s">
        <v>9</v>
      </c>
      <c r="C13" s="33">
        <v>28</v>
      </c>
      <c r="D13" s="17"/>
      <c r="E13" s="17">
        <v>17</v>
      </c>
      <c r="F13" s="17">
        <v>17</v>
      </c>
      <c r="G13" s="17">
        <v>17</v>
      </c>
      <c r="H13" s="17">
        <v>17</v>
      </c>
      <c r="I13" s="24">
        <v>17</v>
      </c>
      <c r="J13" s="23">
        <v>17</v>
      </c>
      <c r="K13" s="33">
        <v>3418</v>
      </c>
      <c r="L13" s="33">
        <v>0</v>
      </c>
      <c r="M13" s="33">
        <v>17</v>
      </c>
      <c r="N13" s="38">
        <f>M13/C13*100</f>
        <v>60.714285714285708</v>
      </c>
    </row>
    <row r="14" spans="1:15" ht="18.600000000000001" thickBot="1" x14ac:dyDescent="0.4">
      <c r="A14" s="1">
        <v>12</v>
      </c>
      <c r="B14" s="4" t="s">
        <v>10</v>
      </c>
      <c r="C14" s="33">
        <v>239</v>
      </c>
      <c r="D14" s="17"/>
      <c r="E14" s="17">
        <v>8</v>
      </c>
      <c r="F14" s="17">
        <v>8</v>
      </c>
      <c r="G14" s="17">
        <v>25</v>
      </c>
      <c r="H14" s="17">
        <v>25</v>
      </c>
      <c r="I14" s="24">
        <v>24</v>
      </c>
      <c r="J14" s="23">
        <v>24</v>
      </c>
      <c r="K14" s="33">
        <v>4661</v>
      </c>
      <c r="L14" s="33">
        <v>62</v>
      </c>
      <c r="M14" s="33">
        <v>51</v>
      </c>
      <c r="N14" s="38">
        <f>M14/C14*100</f>
        <v>21.338912133891213</v>
      </c>
    </row>
    <row r="15" spans="1:15" s="14" customFormat="1" ht="18.600000000000001" thickBot="1" x14ac:dyDescent="0.4">
      <c r="A15" s="12">
        <v>13</v>
      </c>
      <c r="B15" s="13" t="s">
        <v>11</v>
      </c>
      <c r="C15" s="33">
        <v>41</v>
      </c>
      <c r="D15" s="18"/>
      <c r="E15" s="18"/>
      <c r="F15" s="18">
        <v>0</v>
      </c>
      <c r="G15" s="18">
        <v>30</v>
      </c>
      <c r="H15" s="18">
        <v>30</v>
      </c>
      <c r="I15" s="24">
        <v>30</v>
      </c>
      <c r="J15" s="23">
        <v>30</v>
      </c>
      <c r="K15" s="33">
        <v>3949</v>
      </c>
      <c r="L15" s="33">
        <v>9</v>
      </c>
      <c r="M15" s="33">
        <v>29</v>
      </c>
      <c r="N15" s="38">
        <f>M15/C15*100</f>
        <v>70.731707317073173</v>
      </c>
    </row>
    <row r="16" spans="1:15" s="14" customFormat="1" ht="18.600000000000001" thickBot="1" x14ac:dyDescent="0.4">
      <c r="A16" s="12">
        <v>14</v>
      </c>
      <c r="B16" s="13" t="s">
        <v>12</v>
      </c>
      <c r="C16" s="33">
        <v>27</v>
      </c>
      <c r="D16" s="18">
        <v>6</v>
      </c>
      <c r="E16" s="18">
        <v>22</v>
      </c>
      <c r="F16" s="18">
        <v>67</v>
      </c>
      <c r="G16" s="18">
        <v>47</v>
      </c>
      <c r="H16" s="18">
        <v>51</v>
      </c>
      <c r="I16" s="24">
        <v>51</v>
      </c>
      <c r="J16" s="23">
        <v>51</v>
      </c>
      <c r="K16" s="33">
        <v>4394</v>
      </c>
      <c r="L16" s="33">
        <v>11</v>
      </c>
      <c r="M16" s="33">
        <v>68</v>
      </c>
      <c r="N16" s="38">
        <f>M16/C16*100</f>
        <v>251.85185185185185</v>
      </c>
    </row>
    <row r="17" spans="1:14" ht="18.600000000000001" thickBot="1" x14ac:dyDescent="0.4">
      <c r="A17" s="1">
        <v>15</v>
      </c>
      <c r="B17" s="4" t="s">
        <v>13</v>
      </c>
      <c r="C17" s="33">
        <v>81</v>
      </c>
      <c r="D17" s="17"/>
      <c r="E17" s="17">
        <v>32</v>
      </c>
      <c r="F17" s="17">
        <v>32</v>
      </c>
      <c r="G17" s="17">
        <v>32</v>
      </c>
      <c r="H17" s="17">
        <v>32</v>
      </c>
      <c r="I17" s="24">
        <v>32</v>
      </c>
      <c r="J17" s="23">
        <v>32</v>
      </c>
      <c r="K17" s="33">
        <v>1958</v>
      </c>
      <c r="L17" s="33">
        <v>73</v>
      </c>
      <c r="M17" s="33">
        <v>30</v>
      </c>
      <c r="N17" s="38">
        <f>M17/C17*100</f>
        <v>37.037037037037038</v>
      </c>
    </row>
    <row r="18" spans="1:14" s="9" customFormat="1" ht="18.600000000000001" thickBot="1" x14ac:dyDescent="0.4">
      <c r="A18" s="7">
        <v>16</v>
      </c>
      <c r="B18" s="8" t="s">
        <v>14</v>
      </c>
      <c r="C18" s="33">
        <v>77</v>
      </c>
      <c r="D18" s="19"/>
      <c r="E18" s="19">
        <v>34</v>
      </c>
      <c r="F18" s="19">
        <v>34</v>
      </c>
      <c r="G18" s="19">
        <v>34</v>
      </c>
      <c r="H18" s="19">
        <v>34</v>
      </c>
      <c r="I18" s="27">
        <v>37</v>
      </c>
      <c r="J18" s="28">
        <v>37</v>
      </c>
      <c r="K18" s="33">
        <v>2294</v>
      </c>
      <c r="L18" s="33">
        <v>9</v>
      </c>
      <c r="M18" s="33">
        <v>34</v>
      </c>
      <c r="N18" s="38">
        <f>M18/C18*100</f>
        <v>44.155844155844157</v>
      </c>
    </row>
    <row r="19" spans="1:14" ht="18.600000000000001" thickBot="1" x14ac:dyDescent="0.4">
      <c r="A19" s="1">
        <v>17</v>
      </c>
      <c r="B19" s="4" t="s">
        <v>15</v>
      </c>
      <c r="C19" s="33">
        <v>81</v>
      </c>
      <c r="D19" s="17"/>
      <c r="E19" s="17">
        <v>36</v>
      </c>
      <c r="F19" s="17">
        <v>36</v>
      </c>
      <c r="G19" s="17">
        <v>43</v>
      </c>
      <c r="H19" s="17">
        <v>43</v>
      </c>
      <c r="I19" s="24">
        <v>43</v>
      </c>
      <c r="J19" s="23">
        <v>43</v>
      </c>
      <c r="K19" s="33">
        <v>2549</v>
      </c>
      <c r="L19" s="33">
        <v>18</v>
      </c>
      <c r="M19" s="33">
        <v>46</v>
      </c>
      <c r="N19" s="38">
        <f>M19/C19*100</f>
        <v>56.79012345679012</v>
      </c>
    </row>
    <row r="20" spans="1:14" ht="18.600000000000001" thickBot="1" x14ac:dyDescent="0.4">
      <c r="A20" s="1">
        <v>18</v>
      </c>
      <c r="B20" s="3" t="s">
        <v>16</v>
      </c>
      <c r="C20" s="33">
        <v>135</v>
      </c>
      <c r="D20" s="17"/>
      <c r="E20" s="17">
        <v>145</v>
      </c>
      <c r="F20" s="17">
        <v>145</v>
      </c>
      <c r="G20" s="17">
        <v>145</v>
      </c>
      <c r="H20" s="17">
        <v>145</v>
      </c>
      <c r="I20" s="24">
        <v>145</v>
      </c>
      <c r="J20" s="23">
        <v>145</v>
      </c>
      <c r="K20" s="33">
        <v>4755</v>
      </c>
      <c r="L20" s="33">
        <v>3</v>
      </c>
      <c r="M20" s="33">
        <v>144</v>
      </c>
      <c r="N20" s="38">
        <f>M20/C20*100</f>
        <v>106.66666666666667</v>
      </c>
    </row>
    <row r="21" spans="1:14" s="14" customFormat="1" ht="18.600000000000001" thickBot="1" x14ac:dyDescent="0.4">
      <c r="A21" s="12">
        <v>19</v>
      </c>
      <c r="B21" s="13" t="s">
        <v>17</v>
      </c>
      <c r="C21" s="33">
        <v>36</v>
      </c>
      <c r="D21" s="18"/>
      <c r="E21" s="18">
        <v>2</v>
      </c>
      <c r="F21" s="18">
        <v>80</v>
      </c>
      <c r="G21" s="18">
        <v>72</v>
      </c>
      <c r="H21" s="18">
        <v>104</v>
      </c>
      <c r="I21" s="24">
        <v>105</v>
      </c>
      <c r="J21" s="23">
        <v>107</v>
      </c>
      <c r="K21" s="33">
        <v>9706</v>
      </c>
      <c r="L21" s="33">
        <v>3</v>
      </c>
      <c r="M21" s="33">
        <v>112</v>
      </c>
      <c r="N21" s="38">
        <f>M21/C21*100</f>
        <v>311.11111111111114</v>
      </c>
    </row>
    <row r="22" spans="1:14" ht="18.600000000000001" thickBot="1" x14ac:dyDescent="0.4">
      <c r="A22" s="1">
        <v>20</v>
      </c>
      <c r="B22" s="4" t="s">
        <v>18</v>
      </c>
      <c r="C22" s="33">
        <v>35</v>
      </c>
      <c r="D22" s="17"/>
      <c r="E22" s="17">
        <v>20</v>
      </c>
      <c r="F22" s="17">
        <v>22</v>
      </c>
      <c r="G22" s="17">
        <v>22</v>
      </c>
      <c r="H22" s="17">
        <v>22</v>
      </c>
      <c r="I22" s="24">
        <v>24</v>
      </c>
      <c r="J22" s="23">
        <v>24</v>
      </c>
      <c r="K22" s="33">
        <v>5254</v>
      </c>
      <c r="L22" s="33">
        <v>4</v>
      </c>
      <c r="M22" s="33">
        <v>24</v>
      </c>
      <c r="N22" s="38">
        <f>M22/C22*100</f>
        <v>68.571428571428569</v>
      </c>
    </row>
    <row r="23" spans="1:14" s="14" customFormat="1" ht="18.600000000000001" thickBot="1" x14ac:dyDescent="0.4">
      <c r="A23" s="12">
        <v>21</v>
      </c>
      <c r="B23" s="13" t="s">
        <v>19</v>
      </c>
      <c r="C23" s="33">
        <v>191</v>
      </c>
      <c r="D23" s="18"/>
      <c r="E23" s="18"/>
      <c r="F23" s="18">
        <v>0</v>
      </c>
      <c r="G23" s="18">
        <v>6</v>
      </c>
      <c r="H23" s="18">
        <v>6</v>
      </c>
      <c r="I23" s="24">
        <v>6</v>
      </c>
      <c r="J23" s="23">
        <v>6</v>
      </c>
      <c r="K23" s="33">
        <v>1994</v>
      </c>
      <c r="L23" s="33">
        <v>6</v>
      </c>
      <c r="M23" s="33">
        <v>6</v>
      </c>
      <c r="N23" s="38">
        <f>M23/C23*100</f>
        <v>3.1413612565445024</v>
      </c>
    </row>
    <row r="24" spans="1:14" s="14" customFormat="1" ht="18.600000000000001" thickBot="1" x14ac:dyDescent="0.4">
      <c r="A24" s="12">
        <v>22</v>
      </c>
      <c r="B24" s="13" t="s">
        <v>20</v>
      </c>
      <c r="C24" s="33">
        <v>74</v>
      </c>
      <c r="D24" s="18"/>
      <c r="E24" s="18"/>
      <c r="F24" s="18">
        <v>0</v>
      </c>
      <c r="G24" s="18">
        <v>27</v>
      </c>
      <c r="H24" s="18">
        <v>28</v>
      </c>
      <c r="I24" s="24">
        <v>28</v>
      </c>
      <c r="J24" s="23">
        <v>29</v>
      </c>
      <c r="K24" s="34">
        <v>4424</v>
      </c>
      <c r="L24" s="34">
        <v>23</v>
      </c>
      <c r="M24" s="34">
        <v>29</v>
      </c>
      <c r="N24" s="38">
        <f>M24/C24*100</f>
        <v>39.189189189189186</v>
      </c>
    </row>
    <row r="25" spans="1:14" ht="21.6" customHeight="1" thickBot="1" x14ac:dyDescent="0.4">
      <c r="A25" s="1">
        <v>23</v>
      </c>
      <c r="B25" s="4" t="s">
        <v>21</v>
      </c>
      <c r="C25" s="33">
        <v>108</v>
      </c>
      <c r="D25" s="17"/>
      <c r="E25" s="17">
        <v>1</v>
      </c>
      <c r="F25" s="17">
        <v>1</v>
      </c>
      <c r="G25" s="17">
        <v>1</v>
      </c>
      <c r="H25" s="17">
        <v>1</v>
      </c>
      <c r="I25" s="24">
        <v>1</v>
      </c>
      <c r="J25" s="23">
        <v>1</v>
      </c>
      <c r="K25" s="34">
        <v>1794</v>
      </c>
      <c r="L25" s="34">
        <v>4</v>
      </c>
      <c r="M25" s="34">
        <v>30</v>
      </c>
      <c r="N25" s="38">
        <f>M25/C25*100</f>
        <v>27.777777777777779</v>
      </c>
    </row>
    <row r="26" spans="1:14" ht="18.600000000000001" thickBot="1" x14ac:dyDescent="0.4">
      <c r="A26" s="1">
        <v>24</v>
      </c>
      <c r="B26" s="4" t="s">
        <v>22</v>
      </c>
      <c r="C26" s="33">
        <v>176</v>
      </c>
      <c r="D26" s="17"/>
      <c r="E26" s="17">
        <v>28</v>
      </c>
      <c r="F26" s="17">
        <v>51</v>
      </c>
      <c r="G26" s="17">
        <v>72</v>
      </c>
      <c r="H26" s="17">
        <v>72</v>
      </c>
      <c r="I26" s="24">
        <v>72</v>
      </c>
      <c r="J26" s="23">
        <v>72</v>
      </c>
      <c r="K26" s="34">
        <v>6498</v>
      </c>
      <c r="L26" s="34">
        <v>2</v>
      </c>
      <c r="M26" s="34">
        <v>68</v>
      </c>
      <c r="N26" s="38">
        <f>M26/C26*100</f>
        <v>38.636363636363633</v>
      </c>
    </row>
    <row r="27" spans="1:14" s="9" customFormat="1" ht="42.6" customHeight="1" thickBot="1" x14ac:dyDescent="0.4">
      <c r="A27" s="7">
        <v>25</v>
      </c>
      <c r="B27" s="8" t="s">
        <v>23</v>
      </c>
      <c r="C27" s="33">
        <v>325</v>
      </c>
      <c r="D27" s="19"/>
      <c r="E27" s="19">
        <v>0</v>
      </c>
      <c r="F27" s="19">
        <v>0</v>
      </c>
      <c r="G27" s="19">
        <v>0</v>
      </c>
      <c r="H27" s="19">
        <v>0</v>
      </c>
      <c r="I27" s="27">
        <v>0</v>
      </c>
      <c r="J27" s="28">
        <v>0</v>
      </c>
      <c r="K27" s="33">
        <v>3409</v>
      </c>
      <c r="L27" s="33">
        <v>225</v>
      </c>
      <c r="M27" s="33">
        <v>7</v>
      </c>
      <c r="N27" s="38">
        <f>M27/C27*100</f>
        <v>2.1538461538461537</v>
      </c>
    </row>
    <row r="28" spans="1:14" ht="18" x14ac:dyDescent="0.35">
      <c r="A28" s="1"/>
      <c r="B28" s="8" t="s">
        <v>29</v>
      </c>
      <c r="C28" s="33">
        <f>SUM(C3:C27)</f>
        <v>2383</v>
      </c>
      <c r="D28" s="17"/>
      <c r="E28" s="17"/>
      <c r="F28" s="17">
        <f t="shared" ref="F28:M28" si="0">SUM(F3:F27)</f>
        <v>899</v>
      </c>
      <c r="G28" s="17">
        <f t="shared" si="0"/>
        <v>1011</v>
      </c>
      <c r="H28" s="17">
        <f t="shared" si="0"/>
        <v>1047</v>
      </c>
      <c r="I28" s="17">
        <f t="shared" si="0"/>
        <v>1057</v>
      </c>
      <c r="J28" s="17">
        <f t="shared" si="0"/>
        <v>1060</v>
      </c>
      <c r="K28" s="33">
        <f t="shared" si="0"/>
        <v>103578</v>
      </c>
      <c r="L28" s="33">
        <f t="shared" si="0"/>
        <v>959</v>
      </c>
      <c r="M28" s="33">
        <f t="shared" si="0"/>
        <v>1043</v>
      </c>
      <c r="N28" s="38">
        <f>M28/C28*100</f>
        <v>43.768359211078476</v>
      </c>
    </row>
    <row r="29" spans="1:14" ht="18" x14ac:dyDescent="0.35">
      <c r="A29" s="1"/>
      <c r="B29" s="8" t="s">
        <v>30</v>
      </c>
      <c r="C29" s="33"/>
      <c r="D29" s="17"/>
      <c r="E29" s="17">
        <v>316</v>
      </c>
      <c r="F29" s="17">
        <v>317</v>
      </c>
      <c r="G29" s="17"/>
      <c r="H29" s="17">
        <v>363</v>
      </c>
      <c r="I29" s="17">
        <v>369</v>
      </c>
      <c r="J29" s="17">
        <v>369</v>
      </c>
      <c r="K29" s="33"/>
      <c r="L29" s="33"/>
      <c r="M29" s="33"/>
      <c r="N29" s="38" t="e">
        <f>M29/C29*100</f>
        <v>#DIV/0!</v>
      </c>
    </row>
    <row r="30" spans="1:14" ht="18" x14ac:dyDescent="0.35">
      <c r="A30" s="1"/>
      <c r="B30" s="8" t="s">
        <v>32</v>
      </c>
      <c r="C30" s="33"/>
      <c r="D30" s="17"/>
      <c r="E30" s="17"/>
      <c r="F30" s="17"/>
      <c r="G30" s="17">
        <f>G28/C28*100</f>
        <v>42.425514057910199</v>
      </c>
      <c r="H30" s="17">
        <f>H28/C28*100</f>
        <v>43.936214855224506</v>
      </c>
      <c r="I30" s="17"/>
      <c r="J30" s="17"/>
      <c r="K30" s="33"/>
      <c r="L30" s="33"/>
      <c r="M30" s="33"/>
      <c r="N30" s="38" t="e">
        <f>M30/C30*100</f>
        <v>#DIV/0!</v>
      </c>
    </row>
    <row r="31" spans="1:14" ht="18" x14ac:dyDescent="0.35">
      <c r="A31" s="1"/>
      <c r="B31" s="8" t="s">
        <v>33</v>
      </c>
      <c r="C31" s="33">
        <v>3328</v>
      </c>
      <c r="D31" s="17">
        <v>3328</v>
      </c>
      <c r="E31" s="17">
        <v>3328</v>
      </c>
      <c r="F31" s="17">
        <v>3328</v>
      </c>
      <c r="G31" s="17">
        <v>3328</v>
      </c>
      <c r="H31" s="17">
        <v>3328</v>
      </c>
      <c r="I31" s="17">
        <v>3328</v>
      </c>
      <c r="J31" s="17">
        <v>3328</v>
      </c>
      <c r="K31" s="33"/>
      <c r="L31" s="33"/>
      <c r="M31" s="33">
        <v>3328</v>
      </c>
      <c r="N31" s="38">
        <f>M31/C31*100</f>
        <v>100</v>
      </c>
    </row>
    <row r="32" spans="1:14" ht="18" x14ac:dyDescent="0.35">
      <c r="A32" s="1"/>
      <c r="B32" s="8" t="s">
        <v>32</v>
      </c>
      <c r="C32" s="33"/>
      <c r="D32" s="17"/>
      <c r="E32" s="17"/>
      <c r="F32" s="17"/>
      <c r="G32" s="17"/>
      <c r="H32" s="17"/>
      <c r="I32" s="17"/>
      <c r="J32" s="17"/>
      <c r="K32" s="33"/>
      <c r="L32" s="33"/>
      <c r="M32" s="36">
        <f>M28/M31*100</f>
        <v>31.34014423076923</v>
      </c>
      <c r="N32" s="38" t="e">
        <f>M32/C32*100</f>
        <v>#DIV/0!</v>
      </c>
    </row>
  </sheetData>
  <pageMargins left="0.23622047244094491" right="0.23622047244094491" top="0.74803149606299213" bottom="0.74803149606299213" header="0.31496062992125984" footer="0.31496062992125984"/>
  <pageSetup paperSize="9" scale="5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</vt:i4>
      </vt:variant>
      <vt:variant>
        <vt:lpstr>Іменовані діапазони</vt:lpstr>
      </vt:variant>
      <vt:variant>
        <vt:i4>17</vt:i4>
      </vt:variant>
    </vt:vector>
  </HeadingPairs>
  <TitlesOfParts>
    <vt:vector size="18" baseType="lpstr">
      <vt:lpstr>Аркуш1</vt:lpstr>
      <vt:lpstr>Аркуш1!_Hlk137116795</vt:lpstr>
      <vt:lpstr>Аркуш1!_Hlk137116812</vt:lpstr>
      <vt:lpstr>Аркуш1!_Hlk137116834</vt:lpstr>
      <vt:lpstr>Аркуш1!_Hlk137116850</vt:lpstr>
      <vt:lpstr>Аркуш1!_Hlk137116867</vt:lpstr>
      <vt:lpstr>Аркуш1!_Hlk137116896</vt:lpstr>
      <vt:lpstr>Аркуш1!_Hlk137116911</vt:lpstr>
      <vt:lpstr>Аркуш1!_Hlk137116926</vt:lpstr>
      <vt:lpstr>Аркуш1!_Hlk137116944</vt:lpstr>
      <vt:lpstr>Аркуш1!_Hlk137116959</vt:lpstr>
      <vt:lpstr>Аркуш1!_Hlk137116973</vt:lpstr>
      <vt:lpstr>Аркуш1!_Hlk137117034</vt:lpstr>
      <vt:lpstr>Аркуш1!_Hlk137117049</vt:lpstr>
      <vt:lpstr>Аркуш1!_Hlk137117074</vt:lpstr>
      <vt:lpstr>Аркуш1!_Hlk137117100</vt:lpstr>
      <vt:lpstr>Аркуш1!_Hlk137117118</vt:lpstr>
      <vt:lpstr>Аркуш1!Область_друку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Чорний Юрій Васильович</cp:lastModifiedBy>
  <cp:lastPrinted>2026-04-29T13:01:05Z</cp:lastPrinted>
  <dcterms:created xsi:type="dcterms:W3CDTF">2026-03-02T09:04:59Z</dcterms:created>
  <dcterms:modified xsi:type="dcterms:W3CDTF">2026-07-29T14:31:16Z</dcterms:modified>
</cp:coreProperties>
</file>