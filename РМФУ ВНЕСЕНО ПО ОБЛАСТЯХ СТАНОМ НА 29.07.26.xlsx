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ІННИЦЬКА" sheetId="1" r:id="rId5"/>
    <sheet state="visible" name="ВОЛИНСЬКА" sheetId="2" r:id="rId6"/>
    <sheet state="visible" name="ДНІПРОПЕТРОВСЬКА" sheetId="3" r:id="rId7"/>
    <sheet state="visible" name="ДОНЕЦЬКА" sheetId="4" r:id="rId8"/>
    <sheet state="visible" name="ЖИТОМИРСЬКА" sheetId="5" r:id="rId9"/>
    <sheet state="visible" name="ЗАКАРПАТСЬКА" sheetId="6" r:id="rId10"/>
    <sheet state="visible" name="ЗАПОРІЗЬКА" sheetId="7" r:id="rId11"/>
    <sheet state="visible" name="ІВАНО-ФРАНКІВСЬКА" sheetId="8" r:id="rId12"/>
    <sheet state="visible" name="КИЇВСЬКА" sheetId="9" r:id="rId13"/>
    <sheet state="visible" name="КІРОВОГРАДСЬКА" sheetId="10" r:id="rId14"/>
    <sheet state="visible" name="ЛУГАНСЬКА" sheetId="11" r:id="rId15"/>
    <sheet state="visible" name="ЛЬВІВСЬКА" sheetId="12" r:id="rId16"/>
    <sheet state="visible" name="МИКОЛАЇВСЬКА" sheetId="13" r:id="rId17"/>
    <sheet state="visible" name="ОДЕСЬКА" sheetId="14" r:id="rId18"/>
    <sheet state="visible" name="ПОЛТАВСЬКА" sheetId="15" r:id="rId19"/>
    <sheet state="visible" name="РІВНЕНСЬКА" sheetId="16" r:id="rId20"/>
    <sheet state="visible" name="СУМСЬКА" sheetId="17" r:id="rId21"/>
    <sheet state="visible" name="ТЕРНОПІЛЬСЬКА" sheetId="18" r:id="rId22"/>
    <sheet state="visible" name="ХАРКІВСЬКА" sheetId="19" r:id="rId23"/>
    <sheet state="visible" name="ХЕРСОНСЬКА" sheetId="20" r:id="rId24"/>
    <sheet state="visible" name="ХМЕЛЬНИЦЬКА" sheetId="21" r:id="rId25"/>
    <sheet state="visible" name="ЧЕРКАСЬКА" sheetId="22" r:id="rId26"/>
    <sheet state="visible" name="ЧЕРНІВЕЦЬКА" sheetId="23" r:id="rId27"/>
    <sheet state="visible" name="ЧЕРНІГІВСЬКА" sheetId="24" r:id="rId28"/>
    <sheet state="visible" name="М. КИЇВ" sheetId="25" r:id="rId29"/>
  </sheets>
  <definedNames/>
  <calcPr/>
</workbook>
</file>

<file path=xl/sharedStrings.xml><?xml version="1.0" encoding="utf-8"?>
<sst xmlns="http://schemas.openxmlformats.org/spreadsheetml/2006/main" count="1256" uniqueCount="943">
  <si>
    <t>ЄДРПОУ</t>
  </si>
  <si>
    <t>НАЗВА МУЗЕЮ</t>
  </si>
  <si>
    <t>АДРЕСА</t>
  </si>
  <si>
    <t>ВСЬОГО ПРЕДМЕТІВ</t>
  </si>
  <si>
    <t>ВНЕСЕНО</t>
  </si>
  <si>
    <t>ПОТРІБНО ВНЕСТИ</t>
  </si>
  <si>
    <t>ВНЕСЕНО %</t>
  </si>
  <si>
    <t>ОСНОВНИЙ ФОНД (ПІДПИСАНО)</t>
  </si>
  <si>
    <t>ОСНОВНИЙ ФОНД (ВНЕСЕНО)</t>
  </si>
  <si>
    <t>СПЕЦФОНД (ПІДПИСАНО)</t>
  </si>
  <si>
    <t>СПЕЦФОНД (ВНЕСЕНО)</t>
  </si>
  <si>
    <t>ДЕРЖАВНОГО ЗНАЧЕННЯ</t>
  </si>
  <si>
    <t>Народний історико-краєзнавчий музей імені М.А.Занудька</t>
  </si>
  <si>
    <t>Україна 53304 НІкопольський район вул.Яворницького, будинок 8</t>
  </si>
  <si>
    <t>Комунальний заклад культури "Дружківський історико - художній музей"</t>
  </si>
  <si>
    <t>Україна, 84207 Донецька обл. м. Друж</t>
  </si>
  <si>
    <t>Комунальний заклад "Павлоградський історико-краєзнавчий музей" Павлоградської міської ради</t>
  </si>
  <si>
    <t>51400. пров. Музейний, 8, м. Павлоград, Дніпропетровської обл.</t>
  </si>
  <si>
    <t>Комунальний заклад "Музей історії міста Краматорської міської ради"</t>
  </si>
  <si>
    <t>84313, Україна, Донецька обл., Краматорський р-н,м.Краматорськ, вулиця Академічна, будинок, 60</t>
  </si>
  <si>
    <t>Комунальний заклад "Томаківський народний історико-краєзнавчий музей" Томаківської селищної ради</t>
  </si>
  <si>
    <t>53500, селище Томаківка, вулиця Лесі Українки, 14А</t>
  </si>
  <si>
    <t>Комунальний заклад культури "Комплексний музей історії" Царичанської селищної ради</t>
  </si>
  <si>
    <t>Україна, 51000, Дніпропетровська обл., Дніпровський район, селище Царичанка, вул. Театральна, 16г</t>
  </si>
  <si>
    <t>Комунальний заклад "Покровський історичний музей"</t>
  </si>
  <si>
    <t>Україна 85300 Донецька обл. м.Покровськ вул.Європейська, 22</t>
  </si>
  <si>
    <t>Комунальний заклад "Ободівський краєзнавчий музей" Ободівської сільської ради</t>
  </si>
  <si>
    <t>24353 вул.Дружби.20а, с.Ободівка, Гайсинського району</t>
  </si>
  <si>
    <t>Марганецький міський краєзнавчий музей Марганецької міської ради</t>
  </si>
  <si>
    <t>53400, м.Марганець, вул.Єдності,76</t>
  </si>
  <si>
    <t>Комунальний заклад "Художній музей Краматорської міської ради"</t>
  </si>
  <si>
    <t>84313,Україна, Донецька обл., Краматорський р-н, м.Краматорськ,вул. Академічна, буд. 60</t>
  </si>
  <si>
    <t>Міський краєзнавчий музей Гайсинщини</t>
  </si>
  <si>
    <t>23700 м.Гайсин, вул. Центральна,48</t>
  </si>
  <si>
    <t>Комунальний заклад культури "Петриківський музей етнографії, побуту та народно-прикладного мистецтва" в смт.Петриківка</t>
  </si>
  <si>
    <t>Україна.51800, смт.Петриківка, вул.Історична,14</t>
  </si>
  <si>
    <t>Комунальне підприємство "Музей історії Дніпра" Дніпровської міської ради</t>
  </si>
  <si>
    <t>м. Дніпро, вул. Воскресенська, 14</t>
  </si>
  <si>
    <t>Комунальний заклад культури " Донецький обласний художній музей"</t>
  </si>
  <si>
    <t>84205, м.Краматорськ, вул.Тріумфальна, 8</t>
  </si>
  <si>
    <t>Комунанальний заклад "Музей історії міста Козятин" Козятинської міської ради</t>
  </si>
  <si>
    <t>22100, вул.Грушевського, будинок 15, місто Козятин, Хмільницький р-н</t>
  </si>
  <si>
    <t>КЗК "Дніпропетровський національний історичний музей ім. Д.І. Яворницького" ДОР"</t>
  </si>
  <si>
    <t>Україна,49005, м. Дніпро, пр. Д. Яворницького,16</t>
  </si>
  <si>
    <t>Волинський краєзнавчий музей</t>
  </si>
  <si>
    <t>Комунальний заклад "Словʼянський краєзнавчий музей"</t>
  </si>
  <si>
    <t>43005, м. Луцьк, вул. Шопена, буд. 20</t>
  </si>
  <si>
    <t>Україна 84122 Краматорський р-н м.Словʼянськ, вул. Банківська,31</t>
  </si>
  <si>
    <t>Комунальний заклад "Бершадський краєзнавчий музей"</t>
  </si>
  <si>
    <t>24400 вул.Я.Мудрого,2 м.Бершадь</t>
  </si>
  <si>
    <t>Комунальний заклад культури ''Музей історії'' Солонянської селищної ради Дніпропетровської області</t>
  </si>
  <si>
    <t>52400, Дніпропетровська область, Солонянський район, смт Солоне, вул. Гагаріна, 20</t>
  </si>
  <si>
    <t>Комунальний заклад культури "Бахмутський краєзнавчий музей"</t>
  </si>
  <si>
    <t>м. Бахмут, вул. Незалежності, 26</t>
  </si>
  <si>
    <t>Комунальний заклад "Музей Хліба с. Білопілля"</t>
  </si>
  <si>
    <t>22120, вул. Бердичівська №37А, с. Білопілля, Хмільницького району, Вінницької області</t>
  </si>
  <si>
    <t>Рожищенський історико-краєзнавчий музей Комунального закладу "Центр культурних послуг" Рожищенської міської ради</t>
  </si>
  <si>
    <t>45101, Волинська область, Луцький район, м. Рожище, вул. Незалежності, 70</t>
  </si>
  <si>
    <t>Комунальний заклад культури "Жовтоводський історичний музей"</t>
  </si>
  <si>
    <t>52210, м.Жовті Води, Бульвар Свободи, 25</t>
  </si>
  <si>
    <t>Комунальний заклад культури "Костянтинівський міський краєзнавчий музей"</t>
  </si>
  <si>
    <t>Комунальний заклад "Краєзнавчий музей " Піщанської селищної ради</t>
  </si>
  <si>
    <t>85114, м. Костянтинівка, вул. Трудова, 388</t>
  </si>
  <si>
    <t>24700 с-ще Піщанка, вул. Вишнева,2</t>
  </si>
  <si>
    <t>Вінницький обласний краєзнавчий музей</t>
  </si>
  <si>
    <t>21050, Вінницький рн, м. Вінниця, вул. Соборна, 19</t>
  </si>
  <si>
    <t>КОМУНАЛЬНИЙ ЗАКЛАД ВЕРХНЬОДНІПРОВСЬКИЙ МІСЬКИЙ ІСТОРИКО КРАЄЗНАВЧИЙ МУЗЕЙ ВЕРХНЬОДНІПРОВСЬКОЇ МІСЬКОЇ РАДИ ДНІПРОПЕТРОВСЬКОЇ ОБЛАСТІ</t>
  </si>
  <si>
    <t>"Донецький обласний краєзнавчий музей"</t>
  </si>
  <si>
    <t>Україна, 51600, Дніпропетровська обл., Кам'янський р-н, м. Верхньодніпровськ, пл. Олександра Поля, 4.</t>
  </si>
  <si>
    <t>м. Краматорськ, вул. Академічна, 84</t>
  </si>
  <si>
    <t>Лопатенський історико-природничий музейний комплекс</t>
  </si>
  <si>
    <t>Луцький район, урочище Лопатень</t>
  </si>
  <si>
    <t>Вінницький обласний художній музей</t>
  </si>
  <si>
    <t>21050, Вінницька область, м.Вінниця, вул. Соборна, 21</t>
  </si>
  <si>
    <t>Комунальний культурно-освітній заклад "Народний музей історії с. Костянтинівки" Мар'їнської міської військово-цивільної адміністрації Покровського району Донецької області</t>
  </si>
  <si>
    <t>Комунальний заклад "Нікопольський краєзнавчий музей" Нікопольської міської ради</t>
  </si>
  <si>
    <t>85653 Покровський район, село Костянтинівка, вул. Миру, будинок 55В</t>
  </si>
  <si>
    <t>53200 м.Нікополь, вул.Електрометалургів, б.46-А</t>
  </si>
  <si>
    <t>Комунальний заклад "Mіський історичний музей" Жмеринської міської ради</t>
  </si>
  <si>
    <t>23100 м. Жмеринка, вул. Центральна, 24</t>
  </si>
  <si>
    <t>Кортеліський історичний музей-філія КЗ "Центр культурних послуг" Ратнівської селищної ради</t>
  </si>
  <si>
    <t>КЗК"Історико-краєзнавчий музей" Межівської селищної ради"</t>
  </si>
  <si>
    <t>44111, Волинська обл, Ковельський район, с.Кортеліси, площа Пам'яті 6</t>
  </si>
  <si>
    <t>52900, смт Межова, пр-т Незалежності, 8</t>
  </si>
  <si>
    <t>Музей історії Торецької міської територіальної громади</t>
  </si>
  <si>
    <t>85200 Донецька область,Бахмутський район, місто Торецьк вул.Грушевського, буд.4</t>
  </si>
  <si>
    <t>КУ" Вахнівський історико-краєзнавчий музей Турбівської селищної ради"</t>
  </si>
  <si>
    <t>22524 с. Вахнівка вул. Миру 8</t>
  </si>
  <si>
    <t>Комунальний заклад культури "Новомосковський міський історико-краєзнавчий музей ім. П Калнишевського"</t>
  </si>
  <si>
    <t>Комунальний заклад "Тростянецький селищний краєзнавчий музей"</t>
  </si>
  <si>
    <t>51200, Дніпропетровська обл., м. Новомосковськ, вул. Українська, 4</t>
  </si>
  <si>
    <t>24300 с-ще Тростянець вул Соборна, 92</t>
  </si>
  <si>
    <t>Камінь-Каширський краєзнавчий музей Камінь-Каширської міської ради</t>
  </si>
  <si>
    <t>44500, вулиця Свято-Миколаївська, будинок 3, м. Камінь-Каширський</t>
  </si>
  <si>
    <t>Комунальний заклад "Адміністрація державного історико-архітектурного заповідника у м. Святогірську"</t>
  </si>
  <si>
    <t>84130, Донецька область, Краматорський район, місто Святогірськ, вул. Зарічна, буд.3, корпус 20</t>
  </si>
  <si>
    <t>КО "Шаргородський музей образотворчого мистецтва" Шаргородської міської ради</t>
  </si>
  <si>
    <t>23500 м. Шаргород, вул. Героїв Майдану, 194</t>
  </si>
  <si>
    <t>Комунальний заклад культури "Криничанський історико-краєзнавчий музей" Криничанської селищної ради Дніпропетровської області</t>
  </si>
  <si>
    <t>52300 Дніпропетровська область Кам'янський район селище Кринички</t>
  </si>
  <si>
    <t>Маневицький краєзнавчий музей</t>
  </si>
  <si>
    <t>Волинська обл.,Камінь-Каширський район, смт Маневичі, вул. Незалежності, 22</t>
  </si>
  <si>
    <t>Комунальний заклад "Тульчинський краєзнавчий музей Тульчинської міської ради"</t>
  </si>
  <si>
    <t>34300 м.Тульчин, вул. Ростислава Покиньчереди,1</t>
  </si>
  <si>
    <t>Комунальний заклад "Часовоярський історико-краєзнавчий музей"</t>
  </si>
  <si>
    <t>Комунальний заклад "Іллінецький краєзнавчий музей"Іллінецької міської ради Вінницької області</t>
  </si>
  <si>
    <t>22700 місто Іллінці, вулиця Студентська,17 Вінницька область</t>
  </si>
  <si>
    <t>Комунальний заклад культури "Міський історико-краєзнавчий музей" Криворізької міської ради</t>
  </si>
  <si>
    <t>50000, Каунаська вулиця, 16А, Кривий Ріг, Дніпропетровська область</t>
  </si>
  <si>
    <t>Володимирський історичний музей імені Омеляна Дверницького</t>
  </si>
  <si>
    <t>Володимир-Волинський район, м. Володимир, вул. Івана Франка, 6</t>
  </si>
  <si>
    <t>Комунальний заклад "Музей народних ремесел і промислів с.Гальжбіївка Ямпільської міської ради"</t>
  </si>
  <si>
    <t>24504 Вінницька обл Могилів-Подільський район с.Гальжбіївка вулиця О.Перепелиці 33</t>
  </si>
  <si>
    <t>Комунальна установа "Маріупольський краєзнавчий музей"</t>
  </si>
  <si>
    <t>03150, м.Київ, вул. Антоновича 39</t>
  </si>
  <si>
    <t>Комунальний заклад "Музей історії міста Кам'янське" Кам'янської міської ради</t>
  </si>
  <si>
    <t>Ямпільський музей образотворчого мистецтва</t>
  </si>
  <si>
    <t>51931, Дніпропетровська обл, м. Кам'янське, проспект Свободи, буд.39</t>
  </si>
  <si>
    <t>24500 м.Ямпіль, вул.Свободи 136/48</t>
  </si>
  <si>
    <t>Комунальний заклад “Ковельський історичний музей”</t>
  </si>
  <si>
    <t>Ковельський район, м. Ковель, вул. О. Пчілки, 11</t>
  </si>
  <si>
    <t>Комунальний заклад "Краєзнавчий музей ім. У.Кармалюка" Літинської селищної ради</t>
  </si>
  <si>
    <t>22300 вул. Кармалюка,5 селище Літин</t>
  </si>
  <si>
    <t>ВСЬОГО:</t>
  </si>
  <si>
    <t>Софіївський-історико краєзнавчий музей</t>
  </si>
  <si>
    <t>Україна, 53100, смт.Софіївка, вул.Карпенка 1Б</t>
  </si>
  <si>
    <t>Любомльський краєзнавчий музей</t>
  </si>
  <si>
    <t>44301, вул. Української Армії, 2 , м. Любомль, Ковельський р-н, Волинська область</t>
  </si>
  <si>
    <t>Сутисківський історичний музей "Слава"</t>
  </si>
  <si>
    <t>23320 селище Сутиски, проспект Перемоги,6</t>
  </si>
  <si>
    <t>Комунальний заклад культури "Покровський історико-краєзнавчий музей"</t>
  </si>
  <si>
    <t>Україна,53600, Дніпропетровська область, Синельниківський район, селище Покровське, вул. Дмитра Яворницького, 119а</t>
  </si>
  <si>
    <t>Адміністрація Державного історико-культурного заповідника "Буша"</t>
  </si>
  <si>
    <t>24523 с.Буша, вул. І.Богуна, б.10</t>
  </si>
  <si>
    <t>Історичний музей смт Іваничі Центру культури та дозвілля Іваничівської селищної ради</t>
  </si>
  <si>
    <t>45300 вул.Грушевського,6,смт Іваничі Володимирський район Волинська область</t>
  </si>
  <si>
    <t>Комунальний заклад "Історичний музей м.Хмільник" Хмільницької міської ради</t>
  </si>
  <si>
    <t>22000 Вінницька обл. м.Хмільник вул.Шевченка 1а</t>
  </si>
  <si>
    <t>Державний заклад "Металургійний державний музей України"</t>
  </si>
  <si>
    <t>49107, пл. Академіка Стародубова, 1, м. Дніпро</t>
  </si>
  <si>
    <t>Торчинський історичний музей імені Григорія Олександровича Гуртового Торчинської селищної ради</t>
  </si>
  <si>
    <t>Луцький район, смт Торчин, вул. Незалежності, 84</t>
  </si>
  <si>
    <t>Національний музей-садиба М.І.Пирогова</t>
  </si>
  <si>
    <t>21008 м.Вінниця, вул.Пирогова 155</t>
  </si>
  <si>
    <t>КЗК "Петропавлівський народний історико-краєзнавчий музей Петропавлівської селищної ради"</t>
  </si>
  <si>
    <t>52700. Дніпропетровська область, Синельниківський район, смт. Петропавлівка</t>
  </si>
  <si>
    <t>Нововолинський історичний музей</t>
  </si>
  <si>
    <t>Комунальний заклад "Музей історії та етнографії сіл Мурафської сільської ради"</t>
  </si>
  <si>
    <t>23521 с.Пеньківка, вул Жовтнева 10</t>
  </si>
  <si>
    <t>Володимир-Волинський район, м.Нововолинськ,просп.Дружби, 27</t>
  </si>
  <si>
    <t>Комунальна установа "Літературний музей Степана Руданського"</t>
  </si>
  <si>
    <t>22424, с.Хомутинці, вул.Руданського 3, Хмільницький район, Вінницька область</t>
  </si>
  <si>
    <t>Комунальний заклад "Магдалинівський історико-краєзнавчий музей імені Д.Т.Кулакова" Магдалинівської селищної ради</t>
  </si>
  <si>
    <t>51100 Новомосковський район селище Магдалинівка вул.Центральна буд. 32 А</t>
  </si>
  <si>
    <t>Музей історії сільського господарства Волині-скансен</t>
  </si>
  <si>
    <t>Луцький район, смт Рокині, вул. Шкільна, 1</t>
  </si>
  <si>
    <t>Заклад "Вінницький літературно-меморіальний музей М.М.Коцюбинського"</t>
  </si>
  <si>
    <t>21009, м. Вінниця, вул. Івана Бевза, буд.15</t>
  </si>
  <si>
    <t>КОМУНАЛЬНИЙ ЗАКЛАД «ІСТОРИКО-КРАЄЗНАВЧИЙ МУЗЕЙ СЕЛА СПАСЬКЕ» ПІД­ГО­РО­ДНЕН­СЬКОЇ МІСЬКОЇ РАДИ</t>
  </si>
  <si>
    <t>51263, Україна, Дніпровський р-н, Дніпропетровська обл., село Спаське, вулиця Козинця, будинок, 74</t>
  </si>
  <si>
    <t>Адміністрація Державного історико-культурного заповідника у м. Луцьку</t>
  </si>
  <si>
    <t>Луцький район, м. Луцьк, вул. Драгоманова, 23</t>
  </si>
  <si>
    <t>Комунальни заклад "Історичний музей імені Василя Порика" Хмільницької міської ради</t>
  </si>
  <si>
    <t>22066, с. Порик, вул. Свободи, 70,</t>
  </si>
  <si>
    <t>Комунальний заклад Могилів-Подільської міської ради "Історико-краєзнавчий музей Поділля"</t>
  </si>
  <si>
    <t>Горохівський історичний музей сектор комунального закладу Горохівського Народного дому "Просвіта"</t>
  </si>
  <si>
    <t>Україна, 45701 Луцький р-н, м. Горохів, вул. Незалежності 2а</t>
  </si>
  <si>
    <t>Комунальний заклад культури "Покровський народний історико-краєзнавчий музей ім.П.І. Калнишевського"</t>
  </si>
  <si>
    <t>Україна 53273 Нікопольський р-н, с. Покровське, вул. Калнишевського, буд. 18 д/1</t>
  </si>
  <si>
    <t>Комунальна установа "Погребищенський краєзнавчий музей ім.Н.А.Присяжнюк"</t>
  </si>
  <si>
    <t>22200, м. Погребище, вул. Б.Хмельницького,112</t>
  </si>
  <si>
    <t>Комунальний заклад "Васильківський краєзнавчий музей"Васильківської селищної ради</t>
  </si>
  <si>
    <t>52600 Дніпропетровська область Синельниківський район,селище Васильківка провулок Парковий буд.6</t>
  </si>
  <si>
    <t>"Краєзнавчий музей" Тиврівської селищної ради</t>
  </si>
  <si>
    <t>Ківерцівський краєзнавчий музей</t>
  </si>
  <si>
    <t>23300, смт Тиврів, вул. Тиверська, 40</t>
  </si>
  <si>
    <t>Луцький район, м. Ківерці, вул. Незалежності, 24</t>
  </si>
  <si>
    <t>Комунальний заклад "Музей Вінниці"</t>
  </si>
  <si>
    <t>м. Вінниця, вул. Симона Петлюри, 15-А</t>
  </si>
  <si>
    <t>КЗ "Історико-краєзнавчий музей ім.О.Коваля" Підгородненської міської ради</t>
  </si>
  <si>
    <t>м.Підгородне, вул.Центральна, 44-А</t>
  </si>
  <si>
    <t>Комунальний заклад "Літературний музей імені В.О. Забаштанського" селища Браїлів Жмеринської територіальної громади</t>
  </si>
  <si>
    <t>23130, Вінницька область, Жмеринский район, селище Браїлів, вул. Чайковського,18</t>
  </si>
  <si>
    <t>Комунальний заклад "Центр культури "Княгининок". Історичний музей с. Княгининок</t>
  </si>
  <si>
    <t>45630, Україна, Волинська обл., Луцький р-н, с. Княгининок, вул. Соборна, 75</t>
  </si>
  <si>
    <t>КЗ "Тернівський міський краєзавчий музей"</t>
  </si>
  <si>
    <t>51502, м.Тернівка, вул.Спортивна будинок 3</t>
  </si>
  <si>
    <t>Комунальний заклад " Музей історії та етнографії Немирівщини" Немирівської міської ради</t>
  </si>
  <si>
    <t>22800 Вінницька область м. немирів вул Костельна 93</t>
  </si>
  <si>
    <t>Комунальний заклад “Старовижівський краєзнавчий музей” Старовижівської селищної ради Волинської області</t>
  </si>
  <si>
    <t>Ковельський район, смт Стара Вижівка, вул. Незалежності, 23</t>
  </si>
  <si>
    <t>Комунальний заклад " Барський історичний музей"</t>
  </si>
  <si>
    <t>23000 м. Бар, Майдан святого Миколая 19</t>
  </si>
  <si>
    <t>Комунальний заклад культури "Дніпровський художній музей" Дніпровської міської ради</t>
  </si>
  <si>
    <t>Україна, 49044, Дніпропетровська обл., м. Дніпро, вул. Шевченка, буд. 21</t>
  </si>
  <si>
    <t>Комунальний заклад "Літературно-меморіальний музей М.П.Стельмаха" Літинської селищної ради</t>
  </si>
  <si>
    <t>22341 с.Дяківці, вул. Центральна,7</t>
  </si>
  <si>
    <t>Кортеліський історичний музей</t>
  </si>
  <si>
    <t>КЗ "Сурсько-Литовський меморіально-художній музей Ф.П. Решетникова"</t>
  </si>
  <si>
    <t>Ковельський район, с. Кортеліси, Площа Пам’яті, 6</t>
  </si>
  <si>
    <t>52064 Дніпропетровська облю, Дніпровський р-н.. с. Сурсько-Литовське, вул. Шкільна, 35</t>
  </si>
  <si>
    <t>КЗ "Музей історії села Гопчиця"</t>
  </si>
  <si>
    <t>22216 с.Гопчиця вул. Веселівка буд.55А</t>
  </si>
  <si>
    <t>Національний музей космонавтики ім. С.П. Корольова Житомирської обласної ради</t>
  </si>
  <si>
    <t>Житомирський район, м. Житомир, вул. Дмитрівська, 5</t>
  </si>
  <si>
    <t>Комунальний заклад "Музей спротиву Голодомору" Дніпровської міської ради</t>
  </si>
  <si>
    <t>Комунальний заклад "Музей П. Муравського" Піщанської селищної рради</t>
  </si>
  <si>
    <t>49000, Дніпропетровська область, м. Дніпро, вул. старокозацька, 40 Б</t>
  </si>
  <si>
    <t>24714 с. Дмитрашківка, вул. Музейна, 20</t>
  </si>
  <si>
    <t>Музей партизанської Слави села Лобна</t>
  </si>
  <si>
    <t>Камінь-Каширський район, с. Лобна, вул. Федорова, 42б</t>
  </si>
  <si>
    <t>Комунальна установа "Оратівський краєзнавчий музей"</t>
  </si>
  <si>
    <t>22600 с-ще Оратів, вул.Паркова,12</t>
  </si>
  <si>
    <t>Державна установа "Музей коштовного і декоративного каміння"</t>
  </si>
  <si>
    <t>12101 смт. Хорошів, вул. Героїв України, 58</t>
  </si>
  <si>
    <t>Комунальний заклад "П'ятихатський народний історико-краєзнавчий музей" П'ятихатської міської ради</t>
  </si>
  <si>
    <t>Рожищенський районний історико-краєзнавчий музей</t>
  </si>
  <si>
    <t>52100 Дніпропетровська область, Кам'янський район, м.П'ятихатки, вул.Театральна, будинок 107</t>
  </si>
  <si>
    <t>Луцький район, м. Рожище, вул. Незалежності, 70</t>
  </si>
  <si>
    <t>Комунальний заклад "Мурованокуриловецький краєзнавчий музей імені Федора Коновалюка</t>
  </si>
  <si>
    <t>23400 с-ще Муровані Курилівці, вул.Соборна 78</t>
  </si>
  <si>
    <t>Комунальний заклад "Музей історії села Кармалюкове" Жмеринської міської ради Вінницької області</t>
  </si>
  <si>
    <t>23120, Вінницька область, Жмеринський район, село Кармалюкове, вулиця Центральна, 1-В</t>
  </si>
  <si>
    <t>“Історико-краєзнавчий народний музей” Баранівської міської ради</t>
  </si>
  <si>
    <t>Новоград-Волинський район, м. Баранівка, вул. Соборна, 22</t>
  </si>
  <si>
    <t>Комунальний заклад культури "Музей історії петриківського розпису та народних ремесел" Дніпропетровської обласної ради</t>
  </si>
  <si>
    <t>проспект Петра Калнишевського, 69, селище Петриківка, Дніпровський район, Дніпропетровська область, 51800</t>
  </si>
  <si>
    <t>Музей історії та етнографії Тепличчини КЗ "Центр культури і дозвілля Тепличчини"</t>
  </si>
  <si>
    <t>23800 смт Теплик, вул.Незалежності,34</t>
  </si>
  <si>
    <t>В. Коровинецький районний краєзнавчий музей Чуднівської районної ради Житомирської області</t>
  </si>
  <si>
    <t>Філія П'ятихатський народний історико-краєзнавчий музей КЗ "Центр культури і дозвілля" П'ятихатської міської ради</t>
  </si>
  <si>
    <t>Житомирський район, смт Великі Коровинці, просп. Вакуленчука, 6а</t>
  </si>
  <si>
    <t>Ємільчинський народний районний краєзнавчий музей Ємільчинської районної ради Житомирської області</t>
  </si>
  <si>
    <t>Новоград-Волинський район, смт Ємільчине, вул. Соборна, 34</t>
  </si>
  <si>
    <t>Житомирський обласний літературний музей Житомирської обласної ради</t>
  </si>
  <si>
    <t>Житомирський район, м. Житомир, вул. Київська, 45</t>
  </si>
  <si>
    <t>Комунальна установа “Музей історії Овруччини Овруцької міської ради”</t>
  </si>
  <si>
    <t>Коростенський район, м. Овруч, вул. Т. Шевченка, 46</t>
  </si>
  <si>
    <t>Комунальний заклад “Житомирський обласний краєзнавчий музей” Житомирської обласної ради</t>
  </si>
  <si>
    <t>Житомирський район, м. Житомир, майдан Замковий, 1</t>
  </si>
  <si>
    <t>Комунальний заклад “Кмитівський музей образотворчого мистецтва ім. Й.Д. Буханчука” Житомирської обласної ради</t>
  </si>
  <si>
    <t>Житомирський район, с. Кмитів, вул. Покровська, 42</t>
  </si>
  <si>
    <t>Комунальний заклад "Закарпатський музей народної архітектури та побуту" Закарпатської обласної ради</t>
  </si>
  <si>
    <t>88000, Ужгородський р-н, м. Ужгород, вул. Капіульна, 33 а</t>
  </si>
  <si>
    <t>Комунальний заклад " Закарпатський обласний краєзнавчий музей ім. Тиодора Легоцького " Закарпатської обласної ради</t>
  </si>
  <si>
    <t>м.Ужгород вул. Капітульна 33</t>
  </si>
  <si>
    <t>Комунальний заклад"Закарпатський обласний художній музей ім.Й.Бокшая" Закарпатської обласної ради</t>
  </si>
  <si>
    <t>пл.Жупанатська, 3, м.Ужгород, Закарпатська обл., 88000</t>
  </si>
  <si>
    <t>Комунальний заклад “Музей історії села Копище” Олевської міської ради</t>
  </si>
  <si>
    <t>"Оріхівський краєзнавчий музей" відділу культури, туризму та охорони культурної спадщини Оріхівської міської ради Запорізької області</t>
  </si>
  <si>
    <t>Коростенський район, с. Копище, вул. Партизанська, 49</t>
  </si>
  <si>
    <t>70500, Запорізька обл., Пологівський район, м. Оріхів, вул. Покровська, буд. 39</t>
  </si>
  <si>
    <t>Національний заповідник "Хортиця"</t>
  </si>
  <si>
    <t>69017, Запорізька область, місто Запоріжжя, вул. Старого Редуту, 9</t>
  </si>
  <si>
    <t>Комунальний заклад “Олевський краєзнавчий музей” Олевської міської ради</t>
  </si>
  <si>
    <t>Коростенський район, м. Олевськ, вул. Володимирська, 6</t>
  </si>
  <si>
    <t>Комунальний заклад"Запорізький обласний краєзнавчий музей" Запорізької обласної ради</t>
  </si>
  <si>
    <t>69063, м. Запоріжжя, вул. Троїцька/Олександрівська 29/16</t>
  </si>
  <si>
    <t>Комунальна установа "Вільнянський краєзнавчий музей" Вільнянської міської ради</t>
  </si>
  <si>
    <t>70002, Запорізький район, м. Вільнянськ, вул. Соборна, 41</t>
  </si>
  <si>
    <t>Комунальний заклад “Радомишльський народний краєзнавчий музей” Радомишльської міської ради</t>
  </si>
  <si>
    <t>Житомирський район, м. Радомишль, вул. Міськради, 3</t>
  </si>
  <si>
    <t>Комунальна установа "Запорізький обласний художній музей" Запорізької обласної ради</t>
  </si>
  <si>
    <t>69035, м. Запоріжжя, вул. Незалежної України 76-Б</t>
  </si>
  <si>
    <t>Національний музей народного мистецтва Гуцульщини та Покуття імені Й. Кобринського</t>
  </si>
  <si>
    <t>78203, Івано-Франківська обл., м. Коломия, вул. Театральна, 25</t>
  </si>
  <si>
    <t>Комунальний заклад ''Новомиколаївський історико - краєзнавчий музей'' Новомиколаївської селищної ради Запорізької області</t>
  </si>
  <si>
    <t>Коростишівський народний історичний музей</t>
  </si>
  <si>
    <t>Житомирський район, м. Коростишів, Соборна площа, 20</t>
  </si>
  <si>
    <t>Музей мистецтв Прикарпаття</t>
  </si>
  <si>
    <t>76018, Івано-Франківський р-н, Івано-Франківська міська ТГ, м. Івано-Франківськ, вул. Кардинала Любомира Гузара, 49</t>
  </si>
  <si>
    <t>Івано-Франківський обласний музей визвольної боротьби імені Степана Бандери</t>
  </si>
  <si>
    <t>Музей історії міста Бердичева</t>
  </si>
  <si>
    <t>76018, Івано-Франківський р-н, Івано-Франківська міська ТГ, м. Івано-Франківськ, вул. Тарнавського, 22</t>
  </si>
  <si>
    <t>Бердичівський район, м. Бердичів, пл. Соборна, 25</t>
  </si>
  <si>
    <t>Обухівський краєзнавчий музей імені Юрія Домотенка Обухівської міської ради Київської області</t>
  </si>
  <si>
    <t>08700, Київська область, м. Обухів, вул. Київська, 14</t>
  </si>
  <si>
    <t>Івано-Франківський краєзнавчий музей</t>
  </si>
  <si>
    <t>Національний історико-етнографічний заповідник "Переяслав"</t>
  </si>
  <si>
    <t>76018 Івано-Франківська обл., м. Івано-Франківськ вул. Галицька, 4 а</t>
  </si>
  <si>
    <t>08400, Київська область, Бориспільський район, м. Переяслав, вул. Шевченка, 8</t>
  </si>
  <si>
    <t>Новоборівський краєзнавчий музей</t>
  </si>
  <si>
    <t>Комунальний заклад Таращанської міської ради "Таращанський історико-краєзнавчий музей"</t>
  </si>
  <si>
    <t>Житомирський район, смт Нова Борова, вул. Освіти, 7</t>
  </si>
  <si>
    <t>09501, Київська область, Білоцерківський район, місто Тараща, вул.Володимира Великого, 22</t>
  </si>
  <si>
    <t>Музей історі Надвірнянщини Надвірнянської міської ради Івано-Форнківської області</t>
  </si>
  <si>
    <t>78405, Івано-Франківська область, Надвірнянський район, місто Надвірна, майдан Шевченка, 43</t>
  </si>
  <si>
    <t>Комунальний заклад Київської обласної ради "Меморіальний музей К. Г. Стеценка"</t>
  </si>
  <si>
    <t>08531, вул. Стеценка, 1, с. Веприк, Фастівський р-н., Київська обл.</t>
  </si>
  <si>
    <t>Комунальний заклад Київської обласної ради "Білоцерківський краєзнавчий музей"</t>
  </si>
  <si>
    <t>09117, Київська обл., м. Біла Церква, площа Соборна, буд. 4</t>
  </si>
  <si>
    <t>Новоград-Волинський краєзнавчий музей</t>
  </si>
  <si>
    <t>Новоград-Волинський район, м. Новоград-Волинський, вул. Соборності, 24</t>
  </si>
  <si>
    <t>Комунальний заклад Київської обласної ради "Яготинський історичний музей"</t>
  </si>
  <si>
    <t>Національний заповідник "Давній Галич"</t>
  </si>
  <si>
    <t>07700 м. Яготин, вул. Незалежності,114 , Бориспільський район, Київська область</t>
  </si>
  <si>
    <t>77101, м.Галич, вул.Івана Франка 3</t>
  </si>
  <si>
    <t>КЗ КОР "Київський обласний археологічний музей"</t>
  </si>
  <si>
    <t>08722, Київська область, Обухівський район, с. Трипілля, вул. Героїв Трипілля, 12</t>
  </si>
  <si>
    <t>Новоград-Волинський музей родини Косачів</t>
  </si>
  <si>
    <t>Новоград-Волинський район, м. Новоград-Волинський, вул. Родини Косачів, 5а</t>
  </si>
  <si>
    <t>Комунальний заклад Миронівської міської ради "Миронівський краєзнавчий музей"</t>
  </si>
  <si>
    <t>08801, Київська область, Обухівський район, місто Миронівка, вулиця Соборності, 62</t>
  </si>
  <si>
    <t>Історико-меморіальний музей Олекси Довбуша</t>
  </si>
  <si>
    <t>76018 м. Івано-Франківськ, вул. Гетьмана Мазепи, 1</t>
  </si>
  <si>
    <t>Вишгородський історико-культурний заповідник</t>
  </si>
  <si>
    <t>07300 м.Вишгород, вул.Шкільна,58</t>
  </si>
  <si>
    <t>Черняхівський краєзнавчий музей Черняхівської селищної ради Черняхівського району Житомирської області</t>
  </si>
  <si>
    <t>Бориспільський державний історичний музей</t>
  </si>
  <si>
    <t>08301, м. Бориспіль, вул. Київський Шлях, 89</t>
  </si>
  <si>
    <t>Житомирський район, смт Черняхів, вул. Шевченка, 6</t>
  </si>
  <si>
    <t>Краєзнавчий музей "Бойківщина" Тетяни і Омеляна Антоновичів</t>
  </si>
  <si>
    <t>77504, Івано-Франківська обл. Калуський р-н, м. Долина, вул. Чорновола, 2а</t>
  </si>
  <si>
    <t>Комунальна установа "Боярський краєзнавчий музей" Боярської міської ради</t>
  </si>
  <si>
    <t>08150, Київська область, Фастівський район, м. Боярка. вул. Грушевського М., 49-А</t>
  </si>
  <si>
    <t>Комунальний заклад Кагарлицької міської ради "Кагарлицький історико - краєзнавчий музей"</t>
  </si>
  <si>
    <t>09201, Київська область, Обухівський район, м. Кагарлик, вул, Став'янка, 4.</t>
  </si>
  <si>
    <t>КОМУНАЛЬНИЙ ЗАКЛАД "ЦЕНТРАЛЬНОУКРАЇНСЬКИЙ ОБЛАСНИЙ КРАЄЗНАВЧИЙ МУЗЕЙ"</t>
  </si>
  <si>
    <t>25006 м. Кропивницький, вул. Архітектора Паученка, 40</t>
  </si>
  <si>
    <t>КЗ КОР "Національний музей-заповідник української військової звитяги"</t>
  </si>
  <si>
    <t>07354, Київська обл., Вишгородський район, с. Нові Петрівці, вул. Захисників України,67</t>
  </si>
  <si>
    <t>Комунальний заклад "Музей історії Богуславщини" Богуславської міської ради Київської області</t>
  </si>
  <si>
    <t>09701, Київська область, Обухівський район, м.Богуслав, вул.Шевченка 36</t>
  </si>
  <si>
    <t>Комунальний заклад "Устинівський музей історії" Устинівської селищної ради</t>
  </si>
  <si>
    <t>28600 Кропивницький район селище Устинівка, вул. Мазуренка О., 46</t>
  </si>
  <si>
    <t>Іванківський краєзнавчий музей Бориспільської міської ради Київської області</t>
  </si>
  <si>
    <t>08335, Київська область, Бориспільський район, село Іванків, вул. Центральна,1</t>
  </si>
  <si>
    <t>Благовіщенський історичний музей</t>
  </si>
  <si>
    <t>Комунальний заклад Київської обласної ради "Ржищівський археолого-краєзнавчий музей"</t>
  </si>
  <si>
    <t>9230, Київська область, м. Ржищів, вул. Адмірала Петренка, 4</t>
  </si>
  <si>
    <t>26400, Кіровоградська область, Голованівський район, місто Благовіщенське, вул. Героїв України, 68</t>
  </si>
  <si>
    <t>Комунальна організація "Вишневий історико-краєзнавчий музей"</t>
  </si>
  <si>
    <t>08132 Київська область, Бучанський район, м. Вишневе, вул. Європейська, буд. 27-А</t>
  </si>
  <si>
    <t>Комунальний заклад "Міський краєзнавчий музей Світловодської міської ради"</t>
  </si>
  <si>
    <t>27500, м. Світловодськ, вул. Гагаріна, б. 21</t>
  </si>
  <si>
    <t>Комунальний заклад "Тетіївський народний історико-краєзнавчий музей" Тетіївської міської ради Київської області</t>
  </si>
  <si>
    <t>09800 Київська область, Тетіївський район, м.Тетіїв, вулиця Януша Острозького, будинок 12</t>
  </si>
  <si>
    <t>Комунальний заклад Київської обласної ради "Меморіальний музей-садиба І.С. Козловського"</t>
  </si>
  <si>
    <t>08650, Київська область, Білоцерківський район, с.Мар'янівка, вул.Шкільна, 2А</t>
  </si>
  <si>
    <t>Комунальний заклад "Музей історії с.Красногірка" Голованівської селищної ради</t>
  </si>
  <si>
    <t>25640 Кіровоградська область, Голованівський район, село Красногірка, вул. Центральна, 50</t>
  </si>
  <si>
    <t>Комунальний заклад Фастівської міської ради "Фастівський державний краєзнавчий музей"</t>
  </si>
  <si>
    <t>08500, Київська область, м. Фастів, вул. Івана Ступака,9</t>
  </si>
  <si>
    <t>Комунальна установа "Олександрівський краєзнавчий музей Олександрівської селищної ради Кропивницького району Кіровоградської області</t>
  </si>
  <si>
    <t>27300, селище Олександрівка, вул. Коцюбинського, 2, Кропивницький район, Кіровоградська область</t>
  </si>
  <si>
    <t>Комунальна установа "Музей історії Маловисківщини імені Олександра Сергійовича Ковтуна"</t>
  </si>
  <si>
    <t>26200, м. Мала Виска, вул. Центральна, 82</t>
  </si>
  <si>
    <t>Комунальний заклад "Музей археологічних та краєзнавчих досліджень Новомиргородщини"</t>
  </si>
  <si>
    <t>2600 м. Новомиргород, вул. Поповкіна, 25, Новоукраїнський район, Кіровоградська область</t>
  </si>
  <si>
    <t>Комунальний заклад "Бобринецький міський краєзнавчий музей імені Миколи Смоленчука" Бобринецької міської ради</t>
  </si>
  <si>
    <t>27200 м. Бобринець, вулиця Миколаївська, 78</t>
  </si>
  <si>
    <t>Захарівський музей історії Великоандрусівської ради Олександрійського району Кіровоградської області</t>
  </si>
  <si>
    <t>27545, Кіровоградська область, Світловодський район, село Захарівка, вулиця Гагаріна, буд. 2</t>
  </si>
  <si>
    <t>Новоархангельський краєзнавчий музей Новоархангельської селищної ради</t>
  </si>
  <si>
    <t>26100 Кіровоградська обл., Голованівський р-н, с-ще Новоархангельськ, вул. Слави, 45</t>
  </si>
  <si>
    <t>Комунальний заклад "Літературно-меморіальний музей І.К. Карпенка-Карого міста Кропивницького"</t>
  </si>
  <si>
    <t>25006 Кіровоградська область, м.Кропивницький, вул.Тобілевича, 16</t>
  </si>
  <si>
    <t>КЗ "Лисичанський міський краєзнавчий музей"</t>
  </si>
  <si>
    <t>93120, м.Лисичанськ, просп.Перемоги, 94</t>
  </si>
  <si>
    <t>Комунальний заклад Львівської обласної ради "Львівський історичний музей"</t>
  </si>
  <si>
    <t>79008 м. Львів, пл. Ринок, 6</t>
  </si>
  <si>
    <t>Комунальний заклад "Художньо-меморіальний музей О.О.Осмьоркіна"</t>
  </si>
  <si>
    <t>25006 м. Кропивницький, вул. Архітектора Паученка, 89</t>
  </si>
  <si>
    <t>Національний музей у Львові імені Андрея Шептицького</t>
  </si>
  <si>
    <t>Комунальний заклад "Краєзнавчий музей Новопсковської селищної територіальної громади"</t>
  </si>
  <si>
    <t>79008 м. Львів, просп. Свободи, 20</t>
  </si>
  <si>
    <t>92303 с.Новопсков, вулиця Українська, 18</t>
  </si>
  <si>
    <t>Комунальний заклад "Краєзнавчий музей" Компаніївської селищної ради</t>
  </si>
  <si>
    <t>КЗ ЛОР АДІКЗ "Тустань"</t>
  </si>
  <si>
    <t>28400, с-ще. Компаніївка, вул. Паркова 14-А</t>
  </si>
  <si>
    <t>82612, с. Урич, Стрийський р-н, Львівська обл.</t>
  </si>
  <si>
    <t>Комунальний заклад "Міський музей" Рубіжанської міської ради Луганської області</t>
  </si>
  <si>
    <t>93000, м. Рубіжне, пр-т Переможців,21</t>
  </si>
  <si>
    <t>Комунальний заклад культури "Миколаївський обласний краєзнавчий музей"</t>
  </si>
  <si>
    <t>54001, Миколаївська область, місто Миколаїв, вулиця Набережна, 29</t>
  </si>
  <si>
    <t>Комунальна установа «Городоцький історико-краєзнавчий музей» Городоцької міської ради Львівської області</t>
  </si>
  <si>
    <t>81500, Львівська область, м.Городок, вул. Б.Хмельницького, 2</t>
  </si>
  <si>
    <t>Комунальний заклад "Музей мистецтв Кіровоградської обласної ради"</t>
  </si>
  <si>
    <t>КРАЄЗНАВЧИЙ МУЗЕЙ НОВОАЙДАРСЬКОЇ СЕЛИЩНОЇ РАДИ</t>
  </si>
  <si>
    <t>25006, м.Кропивницький, вул. Велика Перспективна, 60</t>
  </si>
  <si>
    <t>59450, Чернівецька обл., Чернівецький р-н, село Малий Кучурів, вул. Шевченка, будинок 17</t>
  </si>
  <si>
    <t>Комунальна установа Львівської обласної ради "Державний меморіальний музей Михайла Грушевського у Львові"</t>
  </si>
  <si>
    <t>79011, м. Львів, вул. Івана Франка, 154</t>
  </si>
  <si>
    <t>Луганський обласний краєзнавчий музей</t>
  </si>
  <si>
    <t>01133, м. Київ, бульвар Лесі Українки, 26а</t>
  </si>
  <si>
    <t>Комунальний заклад "Гайворонський краєзнавчий музей" Гайворонської міської ради</t>
  </si>
  <si>
    <t>КЗЛОР "Історико-етнографічний музей "Бойківщина"</t>
  </si>
  <si>
    <t>Комунальний заклад культури «Миколаївський обласний художній музей ім. В.В. Верещагіна»</t>
  </si>
  <si>
    <t>81400, м.Самбір, пл. А.Чайковського,4</t>
  </si>
  <si>
    <t>26300, Голованівський район, місто Гайворон, вул. Стуса Василя, будинок 17</t>
  </si>
  <si>
    <t>54001 м.Миколаїв, вул. Велика Морська,47</t>
  </si>
  <si>
    <t>Комунальний заклад Меморіальний музей тоталітарних режимів "Територія Терору"</t>
  </si>
  <si>
    <t>79007 м. Львів, вул. Шолом-Алейхема, 14</t>
  </si>
  <si>
    <t>Комунальний заклад "Нечаївський літературно-меморіальний музей Яновського" Компаніївської селищної ради</t>
  </si>
  <si>
    <t>28420,с.Нечаївка, вул.Шкільна,33, Кропивницького району,Кіровоградської області</t>
  </si>
  <si>
    <t>Снігурівський історико-краєзнавчий музей</t>
  </si>
  <si>
    <t>Комунальний заклад Львівської обласної ради "Адміністрація історико-культурного заповідника "Древній Звенигород"</t>
  </si>
  <si>
    <t>с. Звенигород площа Звенигородська,3</t>
  </si>
  <si>
    <t>57300 м.Снігурівка,вул Незалежності</t>
  </si>
  <si>
    <t>Комунальний заклад Львівської обласної ради "Львівський музей історії релігії"</t>
  </si>
  <si>
    <t>Міський краєзнавчий музей Новоукраїнської міської ради Кіровоградської області</t>
  </si>
  <si>
    <t>м.Львів, площа Музейна,1</t>
  </si>
  <si>
    <t>27100 Кіровоградська область, місто Новоукраїнка, вулиця Соборна, 55</t>
  </si>
  <si>
    <t>Комунальний заклад Львівської обласної ради "Львівський національний літературно- меморіальний музей Івана Франка"</t>
  </si>
  <si>
    <t>79011,Львівська область, Львівський район, м. Львів, вул. І. Франка, 150-152</t>
  </si>
  <si>
    <t>Вознесенський художній музей Є.А.Кібріка</t>
  </si>
  <si>
    <t>56500, Миколаївська область, м. Вознесенськ, вул. Соборності, 14</t>
  </si>
  <si>
    <t>Комунальний заклад "Олександрійський міський музейний центр імені Худякової Антоніни Федорівни"</t>
  </si>
  <si>
    <t>28000 Кіровоградська обл., м. Олександрія, вул. Перспективна, 14</t>
  </si>
  <si>
    <t>Музей народної архітектури і побуту у Львові імені Климентія Шептицького</t>
  </si>
  <si>
    <t>79014, м.Львів, вул. Чернеча Гора, 1</t>
  </si>
  <si>
    <t>Комунальний заклад "Баштанський краєзнавчий музей"Баштанської міської ради Баштанського району Миколаївської області</t>
  </si>
  <si>
    <t>56101, Миколаївська область, м.Баштанка, вул. Миколи Аркаса, 1</t>
  </si>
  <si>
    <t>Комунальний заклад Львівської обласної ради "Історико-краєзнавчий музей"</t>
  </si>
  <si>
    <t>Краєзнавчий музей історії сіл Суботцівської сільської ради</t>
  </si>
  <si>
    <t>Львівський район, м. Винники, вул. Галицька, 26</t>
  </si>
  <si>
    <t>27400, м.Знам'янка, вул.Трудова,1 Кіровоградська область</t>
  </si>
  <si>
    <t>Комунальний заклад "Історико-краєзнавчий музей" Миколаївської міської ради Стрийського району Львівської області</t>
  </si>
  <si>
    <t>81600, вул. Шептицького, 26 м.Миколаїв, Стрийський район, Львівська область</t>
  </si>
  <si>
    <t>Комунальний заклад культури "Південноукраїнський міський історичний музей"</t>
  </si>
  <si>
    <t>55001, Миколаївська область, місто Південноукраїнськ, Вознесенський район, вул. Набережна енергетиків 12-А</t>
  </si>
  <si>
    <t>Комунальний заклад " Онуфріївський краєзнавчий музей"</t>
  </si>
  <si>
    <t>28100, Кіровоградська область, Олександрійський район, селище Онуфріївка, вул. Назаренка, 3</t>
  </si>
  <si>
    <t>Державний природознавчий музей Національної академії наук України</t>
  </si>
  <si>
    <t>79008, Львівська область, м. Львів, вул. Театральна, 18</t>
  </si>
  <si>
    <t>Комунальний заклад "Історичний музей" Веселинівської селищної ради Миколаївської області</t>
  </si>
  <si>
    <t>57001, Миколаївська область,Вознесенський район, селище Веселинове, вул. Мозолевського,15</t>
  </si>
  <si>
    <t>Комунальний заклад "Кропивницький музей музичної культури ім. К. Шимановського"</t>
  </si>
  <si>
    <t>Комунальна установа "Бродівський історико-краєзнавчий музей" Бродівської міської ради</t>
  </si>
  <si>
    <t>25006, м. Кропивницький, вул. Михайлівська, 53</t>
  </si>
  <si>
    <t>80600, м. Броди, майдан Свободи, 5</t>
  </si>
  <si>
    <t>Музей "Дрогобиччина" Дрогобицької міської ради Львівської області</t>
  </si>
  <si>
    <t>82100, м. Дрогобич, вул.Тараса Шевченка, 38.</t>
  </si>
  <si>
    <t>Березнегуватський народний історико-краєзнавчий музей Березнегуватської селищної ради</t>
  </si>
  <si>
    <t>56203, Миколаївська область, Баштанський район, селище Березнегувате, вул.Незалежності, 82</t>
  </si>
  <si>
    <t>Комунальний заклад "Музей історії" Голованівської селищної ради</t>
  </si>
  <si>
    <t>26500, Кіровоградська область, Голованівський район, селище Голованівськ, вул. Героїв України, 3</t>
  </si>
  <si>
    <t>Державний історико - культурний заповідник у м. Белзі</t>
  </si>
  <si>
    <t>80062, Львівська обл. Шептицький район, м. Белз вул. Домініканська, 1</t>
  </si>
  <si>
    <t>Комунальний заклад Кривоозерський історичний музей Кривоозерськоі селищної ради</t>
  </si>
  <si>
    <t>55104 Миколаївська обл Первомайський район вул Калантирська 7</t>
  </si>
  <si>
    <t>комунальна установа "Петрівський краєзнавчий музей" Петрівської селищної ради Олександрійського району Кіровоградської області</t>
  </si>
  <si>
    <t>Стрийський краєзнавчий музей "Верховина"</t>
  </si>
  <si>
    <t>82400 м. Стрий, вул. Олесницького, 15</t>
  </si>
  <si>
    <t>28300 Кіровоградська обл. , Олександрійський район, смт Петрове, вул. Центральна,43</t>
  </si>
  <si>
    <t>Історико-краєзнавчий музей м. Борислава</t>
  </si>
  <si>
    <t>м. Борислав, вул. Шевченка, 75</t>
  </si>
  <si>
    <t>Комунальна організація "Братський історико - краєзнавчий музей ім. М.М.Радкевича" Братської селищної ради Вознесенського району Миколаївської області</t>
  </si>
  <si>
    <t>55401, Миколаївська обл., Вознесенський район смт Братське, вул. Миру 114</t>
  </si>
  <si>
    <t>Комунальний заклад "Краєзнавчий музей Долинської міської ради"</t>
  </si>
  <si>
    <t>28500, Кіровоградська обл., м. Долинська, вул. Євгенія Чернова, 8</t>
  </si>
  <si>
    <t>КЗ Історико - краєзнавчий музей м. Перемишляни</t>
  </si>
  <si>
    <t>81200, Львівський район, м. Перемишляни, вул. Привокзальна 6</t>
  </si>
  <si>
    <t>Комунальна установа "Одеський національний художній музей"</t>
  </si>
  <si>
    <t>Комунальний заклад Львівської обласної ради "Адміністрація державного історико-культурного заповідника "Нагуєвичі"</t>
  </si>
  <si>
    <t>65082, Україна, м. Одеса, вул. Софіївська, 5-А</t>
  </si>
  <si>
    <t>82126 Львівська область, Дрогобицький район, с. Нагуєвичі, вулиця Івана Франка, 15</t>
  </si>
  <si>
    <t>Комунальний заклад "Добровеличківський краєзнавчий музей" Добровеличківської селищної ради Кіровоградської області</t>
  </si>
  <si>
    <t>27000, Кіровоградська область, Новоукраїнський район, смт Добровеличківка, вулиця Шевченка,132</t>
  </si>
  <si>
    <t>Комунальний заклад Львівської обласної ради Адміністрація історико-культурного заповідника "Стільське городище"</t>
  </si>
  <si>
    <t>79024 м . Львів, вул. Липинського 54</t>
  </si>
  <si>
    <t>Одеський археологічний музей Національної академії наук України</t>
  </si>
  <si>
    <t>Вільшанський українсько-болгарський історичний музей імені Івана Гуржоса Вільшанської селищної ради</t>
  </si>
  <si>
    <t>Україна 65026 м. Одеса, вул. Ланжеронівська,4</t>
  </si>
  <si>
    <t>26600 Кіровоградська область, Голованівський район, с. Вільшанка, вул. Миру 41/7</t>
  </si>
  <si>
    <t>Комунальний заклад Сколівської міської ради Історико-краєзнавчий музей "Сколівщина"</t>
  </si>
  <si>
    <t>Львівська область, Стрийський район, м. Сколе, вул Д.Галицького, 52.86000</t>
  </si>
  <si>
    <t>Львівська національна галерея мистецтв ім. Б.Г. Возницького</t>
  </si>
  <si>
    <t>79000, Львівська область, місто Львів, вул. Стефаника, 3</t>
  </si>
  <si>
    <t>Одеський муніципальний музей особистих колекцій імені О.В. Блещунова</t>
  </si>
  <si>
    <t>Краєзнавчий музей Кам'янецької селищної ради Кропивницького району Кіровоградської області</t>
  </si>
  <si>
    <t>65014, Одеська область, м. Одеса, вулиця Польська, будинок 19</t>
  </si>
  <si>
    <t>28200, Кіровоградська область, Кропивницький район, селище Кам'янець, вул. Квітнева, 15</t>
  </si>
  <si>
    <t>Музей Петра Сагайдачного в селі Кульчиці Самбірського району Львівської області</t>
  </si>
  <si>
    <t>81476, вул Сагайдачного,2, с. Кульчиці Самбірського району Львівської області</t>
  </si>
  <si>
    <t>Комунальний заклад ''Арцизький історико-краєзнавчий музей'' Арцизької міської ради</t>
  </si>
  <si>
    <t>68400, вулиця Свободи,98, місто Арциз, Болградський район, Одеська область</t>
  </si>
  <si>
    <t>Комунальний заклад "Міський краєзнавчий музей м.Знам'янка"</t>
  </si>
  <si>
    <t>27400, Кіровоградська область, Кропивницький район, м.Знам'янка, вул. Варшавська, 28-В</t>
  </si>
  <si>
    <t>Комунальний заклад "Балтський історичний музей" Балтської міської ради Одеської області</t>
  </si>
  <si>
    <t>66101, Одеська область, м. Балта, вул. Ярослава Мудрого, 39</t>
  </si>
  <si>
    <t>Комунальна установа "Одеський музей західного і східного мистецтва"</t>
  </si>
  <si>
    <t>65026, м.Одеса,вул.Італійська,9</t>
  </si>
  <si>
    <t>Комунальна установа "Білгород-Дністровський краєзнавчий музей" Білгород-Дністровської міської ради</t>
  </si>
  <si>
    <t>67701, Одеська область, м. Білгород-Дністровський, вул. Музейна, 19</t>
  </si>
  <si>
    <t>Державна установа "Музей морського флоту України"</t>
  </si>
  <si>
    <t>Україна, 65026, м. Одеса, вул. Ланжеронівська, 6</t>
  </si>
  <si>
    <t>Шишацький краєзнавчий музей</t>
  </si>
  <si>
    <t>38000, Полтавська область, Миргородський район, смт Шишаки, вул. Марусі Чурай, 22</t>
  </si>
  <si>
    <t>Комунальний заклад "Татарбунарський історико - краєзнавчий музей" Татарбунарської міської ради</t>
  </si>
  <si>
    <t>68100, Одеська область, Білгород - Дністровський район, м. Татарбунари, вул. Гімназична,1</t>
  </si>
  <si>
    <t>Комунальний заклад Диканський історико-краєзнавчий музей ім. Д.М.Гармаша</t>
  </si>
  <si>
    <t>38500 селище Диканька, вул. Незалежності,68</t>
  </si>
  <si>
    <t>Комунальна установа "Кодимський історико-краєзнавчий музей" Кодимської міської ради Подільського району Одеської області</t>
  </si>
  <si>
    <t>660000, Одеська область, Подільський район, місто Кодима, вул.Садова, 4-А</t>
  </si>
  <si>
    <t>Полтавський краєзнавчий музей імені Василя Кричевського</t>
  </si>
  <si>
    <t>3600, м. Полтава, вул. Конституції, 2</t>
  </si>
  <si>
    <t>Комунальна установа "Ізмаїльський історико-краєзнавчий музей Придунав'я"</t>
  </si>
  <si>
    <t>68609, Україна, Одеська область, Ізмаїльський район, місто Ізмаїл, вулиця Тульчианівська, будинок 51</t>
  </si>
  <si>
    <t>Комунальний заклад "Центр культурних послуг" Костопільської міської ради</t>
  </si>
  <si>
    <t>м.Костопіль, вул.С.Руданського, 4</t>
  </si>
  <si>
    <t>Хорольський краєзнавчий музей Хорольської міської ради Лубенського району Полтавської області</t>
  </si>
  <si>
    <t>37800, Полтавська обл., Лубенський рн, м. Хорол, вул. Небесної Сотні 98/4</t>
  </si>
  <si>
    <t>Комунальний заклад Ізмаїльської міської ради Ізмаїльського району Одеської області "Ізмаїльський військово-історичний музейний комплекс"</t>
  </si>
  <si>
    <t>68600, Одеська область, м. Ізмаїл, вул. Торгова, 37</t>
  </si>
  <si>
    <t>Культурно-археологічний центр "Пересопниця" Рівненської обласної ради</t>
  </si>
  <si>
    <t>35337, Рівненська облась, Рівненський район, село Пересопниця, вул. Вербова, 22</t>
  </si>
  <si>
    <t>Мануйлівський літературно-краєзнавчий музей</t>
  </si>
  <si>
    <t>39120, село Верхня Мануйлівка, Покровська,42</t>
  </si>
  <si>
    <t>Комунальна установа "Одеський історико-краєзнавчий музей"</t>
  </si>
  <si>
    <t>65026 Одеська обл., м. Одеса, вул. Гаванна, буд. 4</t>
  </si>
  <si>
    <t>Дубровицький історико-етнографічний музей Дубровицької міської ради</t>
  </si>
  <si>
    <t>34188, Рівненська область Cарнїенський район, село Крупове, вулиця Шкільна, 8</t>
  </si>
  <si>
    <t>Великосорочинський краєзнавчий музей</t>
  </si>
  <si>
    <t>37645, село Великі Сорочинці, вул. Гоголя, 28</t>
  </si>
  <si>
    <t>Комунальний заклад "Народний історико-краєзнавчий музей Захарівської селищної ради Роздільнянського району Одеської області"</t>
  </si>
  <si>
    <t>66700, вул. Центральна,102, селище Захарівка, Роздільнянський район, Одеська область</t>
  </si>
  <si>
    <t>Комунальний заклад "Рівненський обласний краєзнавчий музей" Рівненської обласної ради</t>
  </si>
  <si>
    <t>33028, Рівненська обл., місто Рівне, ВУЛИЦЯ ДРАГОМАНОВА, 19</t>
  </si>
  <si>
    <t>Великосорочинський літературно - меморіальний музей М.В.Гоголя</t>
  </si>
  <si>
    <t>37645, с.Великі Сорочинці, вул.Гоголя, 34</t>
  </si>
  <si>
    <t>Державний історико-культурний заповідник м. Дубно</t>
  </si>
  <si>
    <t>Комунальна установа "Одеський літературний музей"</t>
  </si>
  <si>
    <t>35600, Рівненська обл., м. Дубно, вул.Замкова 7а</t>
  </si>
  <si>
    <t>65026, м. Одеса, вул. Ланжеронівська, буд.2</t>
  </si>
  <si>
    <t>Комунальний заклад Полтавської обласної ради "Національний музей-заповідник М.В.Гоголя"</t>
  </si>
  <si>
    <t>38040, Полтавська область Миргородський район с.Гоголеве, вул.Лева Вайнгорта 5</t>
  </si>
  <si>
    <t>Здолбунівський краєзнавчий музей Здолбунівської міської ради Рівненської області</t>
  </si>
  <si>
    <t>Комунальний заклад «Кілійський історико-краєзнавчий музей» Кілійської міської ради</t>
  </si>
  <si>
    <t>Рівненський район, м. Здолбунів, вул. Фабрична, 9</t>
  </si>
  <si>
    <t>68303, Україна, Одеська область, Ізмаїльський район, місто Кілія, вулиця Миру, будинок 73</t>
  </si>
  <si>
    <t>Краєзнавчий музей Кролевецької міської ради</t>
  </si>
  <si>
    <t>41300 Сумська область, Конотопський район, м.Кролевець, вул.Соборна, 33</t>
  </si>
  <si>
    <t>Гадяцький історико-краєзнавчий музей</t>
  </si>
  <si>
    <t>37300, Миргородський рн, м.Гадяч, вул. Лесі Українки, 16</t>
  </si>
  <si>
    <t>Комунальний заклад "Державний історикокультурний заповідник міста Острога" Рівненської обласної ради</t>
  </si>
  <si>
    <t>Комунальний заклад "Історико-краєзнавчий музей" Ренійської міської ради</t>
  </si>
  <si>
    <t>68803 Одеська область, Ізмаїльський район, місто Рені , вул.Степана Чобану, 166</t>
  </si>
  <si>
    <t>35800. Рівненська область, Рівненський район, м.Острог, вул. Академічна, буд.5.</t>
  </si>
  <si>
    <t>Національний музей-заповідник українського гончарства</t>
  </si>
  <si>
    <t>Музей Кролевецького ткацтва Кролевецької міської ради</t>
  </si>
  <si>
    <t>38164, Полтавська область, Полтавський район, сел. Опішня, вул. В'ячеслава Чорновола, 102</t>
  </si>
  <si>
    <t>Музей історії Національного університету "Острозька академія"</t>
  </si>
  <si>
    <t>41300 Сумська область, м. Кролевець, бульвар Шевченка, 33</t>
  </si>
  <si>
    <t>Україна. 35800, м. Острог, вул. Семінарська, 2</t>
  </si>
  <si>
    <t>Історико-краєзнавчий музей Овідіопольської селищної ради Одеського району Одеської області</t>
  </si>
  <si>
    <t>67801, Одеська обл., Овідіопольський р-н, смт Овідіополь, вул. Т.Шевченка, буд. 95 а</t>
  </si>
  <si>
    <t>Білицький краєзнавчий музей</t>
  </si>
  <si>
    <t>Комунальний заклад "Млинівський краєзнавчий музей" Млинівської селищної ради Рівненської області</t>
  </si>
  <si>
    <t>39220, селище Білики,площа Історична,3 / -</t>
  </si>
  <si>
    <t>35100 Рівненська область Дубенський район селище Млинів вул. Івана Франка, 1Б</t>
  </si>
  <si>
    <t>Комунальний заклад Буринської міської ради "Буринський краєзнавчий музей імені Павла Попова"</t>
  </si>
  <si>
    <t>41700 місто Буринь, площа Захисників України, буд. 22</t>
  </si>
  <si>
    <t>Комунальний заклад Музей образотворчих мистецтв ім. О. Білого м.Чорноморськ</t>
  </si>
  <si>
    <t>68001, вул.Паркова, 8/70Н Одеська обл. Одеський р-н</t>
  </si>
  <si>
    <t>Комунальний заклад " Корецький центр культурних прослуг" Корецької міської ради.Корецький історичний музей</t>
  </si>
  <si>
    <t>34700, Рівненська обл, Рівненський р-н, місто Корець,вул Київська 45.</t>
  </si>
  <si>
    <t>Великобагачанський краєзнавчий музей</t>
  </si>
  <si>
    <t>с-ще Велика Багачка, вул.Каштанова,15</t>
  </si>
  <si>
    <t>Комунальний заклад Сумської обласної ради "Сумський обласний художній музей ім. Н. Онацького"</t>
  </si>
  <si>
    <t>Комунальний заклад “Березнівський краєзнавчий музей” Березнівської міської ради Рівненського району Рівненської області</t>
  </si>
  <si>
    <t>Рівненський район, м. Березне, вул. Київська, 8</t>
  </si>
  <si>
    <t>Комунальний заклад "Історико-краєзнавчий музей Ширяївської селищної ради" Березівського району Одеської області</t>
  </si>
  <si>
    <t>Україна, 40000, м. Суми, Покровська площа, 1</t>
  </si>
  <si>
    <t>66800, вул. Коробченка, 12, селище Ширяєве, Березівський район, Одеська область</t>
  </si>
  <si>
    <t>Вовчицький краєзнавчий музей імені І.І. Саєнка</t>
  </si>
  <si>
    <t>37533,Полтавська область, Лубенський район,с. Вовчик, вул. Іларіона Сухомлина 32а</t>
  </si>
  <si>
    <t>Комунальний заклад “Володимирецький історичний музей” Володимирецької селищної ради</t>
  </si>
  <si>
    <t>Вараський район, смт Володимирець, вул. Соборна, 30</t>
  </si>
  <si>
    <t>Комунальний заклад«Шабівський краєзнавчий музей» Шабівської сільської ради Білгород-Дністровський район Одеської області</t>
  </si>
  <si>
    <t>вул. Центральна, 63, с. Шабо, Білгород-Дністровський район Одеської області, 67770</t>
  </si>
  <si>
    <t>Комунальний заклад Сумської обласної ради Сумський обласний краєзнавчий музей</t>
  </si>
  <si>
    <t>Комунальний заклад “Радивилівський історичний музей” Радивилівської міської ради</t>
  </si>
  <si>
    <t>40000 м.Суми, вул.Герасима Кондратьєва, буд.2</t>
  </si>
  <si>
    <t>Державний історико-культурний заповідник "Поле Полтавської битви"</t>
  </si>
  <si>
    <t>Дубенський район, м. Радивилів, вул. Кременецька, 24</t>
  </si>
  <si>
    <t>36013, м. Полтава, вул. Шведська Могила, 32</t>
  </si>
  <si>
    <t>Комунальний заклад “Сарненський історико-етнографічний музей” Сарненської міської ради</t>
  </si>
  <si>
    <t>Сарненський район, м. Сарни, вул. Просвіти, 20</t>
  </si>
  <si>
    <t>Комунальний заклад "Музей міста Южного" Южненської міської ради Одеського району Одеської області</t>
  </si>
  <si>
    <t>65481 Одеська область, Одеський район, місто Южне, площа Перемоги,1</t>
  </si>
  <si>
    <t>КЗ «Краєзнавчий музей Ре­ше­ти­лів­ської міської ради Полтавської області»</t>
  </si>
  <si>
    <t>38400, м. Решетилівка, вул.Покровська,19</t>
  </si>
  <si>
    <t>Комунальний заклад Шосткинської міської ради Сумської област "Шосткинський краєзнавчий музей"</t>
  </si>
  <si>
    <t>41100 м.Шостка вул. Свободи 53</t>
  </si>
  <si>
    <t>Костопільський районний краєзнавчий музей</t>
  </si>
  <si>
    <t>Рівненський район, м. Костопіль, вул. Грушевського, 16</t>
  </si>
  <si>
    <t>Комунальна установа "Обласний центр естетичного виховання імені Емілії Євдокимової"</t>
  </si>
  <si>
    <t>68609, Одеська область, Ізмаїльський район, м.Ізмаїл, вул.Комерційна, 34</t>
  </si>
  <si>
    <t>Кобеляцький музей літератури та мистецтва імені Олексія Кулика Кобеляцької міської ради</t>
  </si>
  <si>
    <t>Національний історико-меморіальний заповідник “Поле Берестецької битви” (МКІП)</t>
  </si>
  <si>
    <t>Дубенський район, с. Пляшева, вул. Козацької Слави, 26</t>
  </si>
  <si>
    <t>39200 м.Кобеляки, вул.Шевченка, 14</t>
  </si>
  <si>
    <t>Комунальний заклад виконавчого комітету Лебединської міської ради "Лебединський міський художній музей імені Б.К. Руднєва"</t>
  </si>
  <si>
    <t>Сумська область, м. Лебедин, площа Волі, 17</t>
  </si>
  <si>
    <t>Комунальна установа "Історико-культурний заповідник" Більськ" Полтавської обласної ради</t>
  </si>
  <si>
    <t>38600 селище Котельва, вул. Покровська, 13</t>
  </si>
  <si>
    <t>Конотопський міський краєзнавчий музей ім. О. М. Лазаревського</t>
  </si>
  <si>
    <t>41600, Сумська область, м.Конотоп, вул. Садова, 2</t>
  </si>
  <si>
    <t>Комунальна установа культури "Чутівський краєзнавчий музей"</t>
  </si>
  <si>
    <t>с-ще Чутове, вул. Полтавський Шлях 33а</t>
  </si>
  <si>
    <t>Комунальний заклад Сумської обласної ради "Меморіальний Будинок-музей А.П. Чехова в м. Суми"</t>
  </si>
  <si>
    <t>Україна. 40022.м. Суми, вул. Чехова,79</t>
  </si>
  <si>
    <t>Комунальний заклад "Карлівський історико-краєзнавчий музей"</t>
  </si>
  <si>
    <t>39500,м.Карлівка,вул.Полтавський шлях,50</t>
  </si>
  <si>
    <t>Комунальний заклад Сумської обласної ради "Державний історико-культурний заповідник у м. Путивлі"</t>
  </si>
  <si>
    <t>Комунальний заклад "Котелевський історико-краєзнавчий музей" Котелевської селищної ради</t>
  </si>
  <si>
    <t>41500 м. Путивль, вул. Кролевецька, 70</t>
  </si>
  <si>
    <t>38600, селища Котельва, Полтавський шлях, 73</t>
  </si>
  <si>
    <t>Комунальний заклад "Семенівський краєзнавчий музей"</t>
  </si>
  <si>
    <t>38200, Полтавська область, Кременчуцький район, селище Семенівка, вулиця Незалежності, 63</t>
  </si>
  <si>
    <t>Комунальний заклад Тростянецької міської ради "Музейно - виставковий центр "Тростянецький""</t>
  </si>
  <si>
    <t>42600, Сумська область, Охтирський район, м. Тростянець, вул. Миру 16а</t>
  </si>
  <si>
    <t>Комунальний заклад культури «Кременчуцький музей історії авіації і космонавтики»</t>
  </si>
  <si>
    <t>м. Кременчук, вул. Старшого лейт.Кагала буд.57-А</t>
  </si>
  <si>
    <t>Комунальний заклад "Охтирський міський краєзнавчий музей"</t>
  </si>
  <si>
    <t>42700 Сумська область, місто Охтирка, вулиця Незалежності,10</t>
  </si>
  <si>
    <t>Комунальний заклад культури "Картинна галерея Наталії Юзефович"</t>
  </si>
  <si>
    <t>39625, м.Кременчук, вул. Космічна, 9</t>
  </si>
  <si>
    <t>Обласний комунальний етнографічно-меморіальний музей Володимира Гнатюка</t>
  </si>
  <si>
    <t>48351, Тернопільська область, Чортківський район, с. Велеснів, вул. Нагірянка, 16</t>
  </si>
  <si>
    <t>9140</t>
  </si>
  <si>
    <t>Комунальний заклад Сумської обласної ради "Державний історико-культурний заповідник "Посулля"</t>
  </si>
  <si>
    <t>Комунальний заклад культури "Кременчуцька міська художня галерея"</t>
  </si>
  <si>
    <t>39605, Україна, Полтавська обл., місто Кременчук, вулиця Коцюбинського Михайла, будинок, 4</t>
  </si>
  <si>
    <t>42020, Сумська область, Роменський район, с. Пустовійтівка, 4 пров. Центральної, 4</t>
  </si>
  <si>
    <t>Історико-краєзнавчий музей"Зборівська битва"Зборівської міської ради</t>
  </si>
  <si>
    <t>Україна,47201 Тернопільська обл., м.Зборів, вул. Козацька, 45</t>
  </si>
  <si>
    <t>2713</t>
  </si>
  <si>
    <t>Комунальний заклад культури"Кременчуцький краєзнавчий музей"</t>
  </si>
  <si>
    <t>39600 м. Кременчук, вул. Ігоря Сердюка, 2</t>
  </si>
  <si>
    <t>Відділ Музейної справи КЗ "Центр культури і дозвілля" Козівської селищної ради</t>
  </si>
  <si>
    <t>47600, смт. Козова, вул. Грушевського, 23</t>
  </si>
  <si>
    <t>0</t>
  </si>
  <si>
    <t>Краєзнавчий музей міста Горішні Плавні</t>
  </si>
  <si>
    <t>Кременецько-Почаївський державний історико-архітектурний заповідник</t>
  </si>
  <si>
    <t>39800, м. Горішні Плавні, вул. Космонавтів, 4</t>
  </si>
  <si>
    <t>47003 м. Кременець, вул. Козубського 6</t>
  </si>
  <si>
    <t>Комунальний заклад "Глухівський міський краєзнавчий музей" Глухівської міської ради</t>
  </si>
  <si>
    <t>41400, вул. Терещенків,42, м. Глухів,</t>
  </si>
  <si>
    <t>Тернопільський обласний художній музей</t>
  </si>
  <si>
    <t>Обласний комунальний заклад "Харківський художній музей"</t>
  </si>
  <si>
    <t>46003, м.Тернопіль, вул. С.Крушельницької, 1</t>
  </si>
  <si>
    <t>9743</t>
  </si>
  <si>
    <t>Україна 61002 м. Харків вул. Жон Мироносиць, 11</t>
  </si>
  <si>
    <t>Літературно-меморіальний музей-садиба Олеся Гончара Кобеляцької міської ради</t>
  </si>
  <si>
    <t>39250, Полтавська область, Полтавський район, с. Сухе, вул. Олеся Гончара, 7 / -</t>
  </si>
  <si>
    <t>Тернопільский обласний краєзнавчий музей</t>
  </si>
  <si>
    <t>Національний заповідник "Глухів"</t>
  </si>
  <si>
    <t>46008, Україна, м. Тернопіль, Площа Героїв Євромайдану, 3</t>
  </si>
  <si>
    <t>41400, Сумська обл., м.Глухів, вул. Шевченка, 30</t>
  </si>
  <si>
    <t>263589</t>
  </si>
  <si>
    <t>Національний музей воєнної історії Слобожанщини</t>
  </si>
  <si>
    <t>62370, НМВІС, смт Солоницівка, Харківський район, Харківська область</t>
  </si>
  <si>
    <t>Лубенський краєзнавчий музей імені Гната Стеллецького</t>
  </si>
  <si>
    <t>37500 м. Лубни, вул. Ярослава Мудрого 30/25</t>
  </si>
  <si>
    <t>Комунальний заклад "Меморіальний комплекс-музей "Молотківська трагедія" Лановецької міської ради Кременецького району Тернопільської області</t>
  </si>
  <si>
    <t>47451, Тернопільська область, Лановецький район, село Молотків, вул. Центральна, 44</t>
  </si>
  <si>
    <t>4910</t>
  </si>
  <si>
    <t>Комунальний заклад "Лебединський міський краєзнавчий музей" виконавчого комітету Лебединської міської ради</t>
  </si>
  <si>
    <t>42200 Сумська область, Сумський район, м. Лебедин, вул. Тараса Шевченка, 37</t>
  </si>
  <si>
    <t>Комунальний заклад культури "Харківський літературний музей"</t>
  </si>
  <si>
    <t>країна, 61002, Харківська область, місто Харків, вул. Багалія, 6</t>
  </si>
  <si>
    <t>39120, с. Верхня Мануйлівка,</t>
  </si>
  <si>
    <t>Обласний комунальний музей Богдана Лепкого в м.Бережани</t>
  </si>
  <si>
    <t>47501, Тернопільська обл., м.Бережани, площа Ринок, 1.</t>
  </si>
  <si>
    <t>4789</t>
  </si>
  <si>
    <t>Комунальний заклад "Ямпільський краєзнавчий музей" Ямпільської селищної ради</t>
  </si>
  <si>
    <t>41200, Сумська область, смт Ямпіль, вул.Ботанічна, 23</t>
  </si>
  <si>
    <t>Бережанський краєзнавчий музей Бережанської міської ради Тернопільської області</t>
  </si>
  <si>
    <t>Музей А.С. Макаренка Кременчуцької міської ради Кременчуцького району Полтавської області</t>
  </si>
  <si>
    <t>47501. м.Бережани,пл.Ринок,1</t>
  </si>
  <si>
    <t>19682</t>
  </si>
  <si>
    <t>39600, м. Кременчук, вул.Драгоманова,44</t>
  </si>
  <si>
    <t>КОМУНАЛЬНИЙ ЗАКЛАД "ХУДОЖНЬО-МЕМОРІАЛЬНИЙ МУЗЕЙ І.Ю. РЄПІНА" ХАРКІВСЬКОЇ ОБЛАСНОЇ РАДИ</t>
  </si>
  <si>
    <t>63503 м. Чугуїв, вул. Музейна, 8</t>
  </si>
  <si>
    <t>Обласний комунальний меморіальний музей-садиба Леся Курбаса</t>
  </si>
  <si>
    <t>47845 с. Старий Скалат, вул. Леся Курбаса, 14, Тернопільська обл., Тернопільський район</t>
  </si>
  <si>
    <t>2195</t>
  </si>
  <si>
    <t>Музей Рушника ім. Н.Ю. Бокоч Коломацької сільської ради</t>
  </si>
  <si>
    <t>38744 Полтавська область, Полтавський район, с. Степне вул. Центральна, 17</t>
  </si>
  <si>
    <t>Лозівський краєзнавчий музей Лозівської міської ради Харківської області</t>
  </si>
  <si>
    <t>64602,Україна, Харківська обл., Лозівський район, м. Лозова, бульвар Шевченка, 22</t>
  </si>
  <si>
    <t>Почаївський історико-художній музей</t>
  </si>
  <si>
    <t>47025 м. Почаїв, вул. Банкова,1</t>
  </si>
  <si>
    <t>39962</t>
  </si>
  <si>
    <t>Пирятинський краєзнавчий музей Пирятинської міської ради</t>
  </si>
  <si>
    <t>37000, м. Пирятин, вул. Музейна,47</t>
  </si>
  <si>
    <t>Державний історико-архітектурний заповідник у м. Бережани</t>
  </si>
  <si>
    <t>47501, Тернопільська обл., м. Бережани, вул. Вірменська,4</t>
  </si>
  <si>
    <t>Комунальний заклад Балаклійський краєзнавчий музей Балаклійської міської ради Харківської області</t>
  </si>
  <si>
    <t>64207, вул. Соборна, 97, м. Балаклія, Ізюмський район, Харківська область</t>
  </si>
  <si>
    <t>Полтавський літературно-меморіальний музей В.Г.Короленка</t>
  </si>
  <si>
    <t>36011,м.Полтава,вул.Короленка,1</t>
  </si>
  <si>
    <t>Комунальний заклад " Люботинський міський краєзнавчий музей Люботинської міської ради Харківської області"</t>
  </si>
  <si>
    <t>Україна,62433, Харківська обл., місто Люботин,вул.Слобожанська,10</t>
  </si>
  <si>
    <t>Національний заповідник "Замки Тернопілля"</t>
  </si>
  <si>
    <t>47302, Тернопільська обл., Тернопільський р-н, місто Збараж, вул. Б.Хмельницького, 6</t>
  </si>
  <si>
    <t>37178</t>
  </si>
  <si>
    <t>Полтавський літературно-меморіальний музей І.Котляревського</t>
  </si>
  <si>
    <t>36011, м.Полтава, проспект Віталія Грицаєнка,18</t>
  </si>
  <si>
    <t>Комунальний заклад "Залозецький краєзнавчий музей" Залозецької селищної ради</t>
  </si>
  <si>
    <t>47234, Тернопільська область, Тернопільський район, смт. Залізці, вул. Шевченка, 51</t>
  </si>
  <si>
    <t>978</t>
  </si>
  <si>
    <t>Комунальний заклад культури "Харківська художня галерея ім. С.І. Васильківського"</t>
  </si>
  <si>
    <t>61057, м.Харків, вул.Чернишевська, 15</t>
  </si>
  <si>
    <t>Теребовлянський музей-майстерня</t>
  </si>
  <si>
    <t>48100, Тернопільський р-н, місто Теребовля, вулиця Шевченка, будинок, 26е</t>
  </si>
  <si>
    <t>2660</t>
  </si>
  <si>
    <t>Полтавський літературно-меморіальний музей Панаса Мирного</t>
  </si>
  <si>
    <t>36002 Полтава, вул. Панаса Мирного, 56</t>
  </si>
  <si>
    <t>Комунальний заклад "Вовчанський історико-краєзнавчий музей"</t>
  </si>
  <si>
    <t>62503, м.Вовчанськ,вулиця Авіаційна,42</t>
  </si>
  <si>
    <t>Бережанський міський музей книги</t>
  </si>
  <si>
    <t>47591.м.Бережани, по.Ринок,1</t>
  </si>
  <si>
    <t>10826</t>
  </si>
  <si>
    <t>Полтавський художній музей (галерея мистецтв) імені Миколи Ярошенка</t>
  </si>
  <si>
    <t>36020, м. Полтава, вул. Європейська, 5</t>
  </si>
  <si>
    <t>Комунальний заклад "Великобурлуцький краєзнавчий музей Великобурлуцької селищної ради"</t>
  </si>
  <si>
    <t>62602 Куп'янський р-н, смт. Великий Бурлук, вул. Центральна 35</t>
  </si>
  <si>
    <t>Борщівський обласний комунальний краєзнавчий музей</t>
  </si>
  <si>
    <t>48702. м.Борщів, вул.Шевченка, 9</t>
  </si>
  <si>
    <t>21870</t>
  </si>
  <si>
    <t>Чорнухинський літературно-меморіальний музей Г.С.Сковороди Чорнухинської селищної ради</t>
  </si>
  <si>
    <t>37100 селище Чорнухи, вул.Центральна, 45</t>
  </si>
  <si>
    <t>Комунальний заклад"Валківський краєзнавчий музей"</t>
  </si>
  <si>
    <t>Бучацький краєзнавчий музей</t>
  </si>
  <si>
    <t>Україна, 63002, Харківська область,м.Валки, вул. Харківська, 17</t>
  </si>
  <si>
    <t>48402 м.Бучач, вул. Галицька,55</t>
  </si>
  <si>
    <t>4376</t>
  </si>
  <si>
    <t>Комунальний заклад культури "Музей видатних харків`ян ім.К.І.Шульженко"</t>
  </si>
  <si>
    <t>Великобережецький літературно-меморіальний музей Олександра Неприцького-Грановського</t>
  </si>
  <si>
    <t>61001, Харківська обл., м.Харків, пров.Селищний, 1</t>
  </si>
  <si>
    <t>47020, Тернопільська область, Кременецький район, село Великі Бережці, вул. Лесі Українки, 55А</t>
  </si>
  <si>
    <t>5103</t>
  </si>
  <si>
    <t>Денисівський краєзнавчий музей</t>
  </si>
  <si>
    <t>Комунальний заклад "Красноградський краєзнавчий музей імені Порфирія Денисовича Мартиновича" Красноградської міської ради</t>
  </si>
  <si>
    <t>47651, вулиця Іванни Блажкевич, 8, село Денисів, Тернопільського району, Тернопільської області</t>
  </si>
  <si>
    <t>63304, Харківська область, м.Красноград вул.Соборна, 55</t>
  </si>
  <si>
    <t>7131</t>
  </si>
  <si>
    <t>Комунальна організація (установа, заклад) "Художньо-меморіальний музей Леопольда Левицького"</t>
  </si>
  <si>
    <t>48715, Тернопільська область, Чортківський район, с. Бурдяківці, вул. Шкільна, 52а</t>
  </si>
  <si>
    <t>Ізюмський краєзнавчий музей імені М.В.Сібільова Управління культури Ізюмської міської ради Харківської області</t>
  </si>
  <si>
    <t>1300</t>
  </si>
  <si>
    <t>64309 вул.Соборна, 12, м.Ізюм, Харківська область</t>
  </si>
  <si>
    <t>Комунальна установа "Заліщицький краєзнавчий музей" Заліщицької міської ради</t>
  </si>
  <si>
    <t>Комунальний заклад " Херсонський обласний художній музей ім. О.О.Шовкуненка" ХОР</t>
  </si>
  <si>
    <t>м. Заліщики, вул. С. Бандери 66</t>
  </si>
  <si>
    <t>20015</t>
  </si>
  <si>
    <t>Україна, 73000, м. Херсон, вул. Соборна, 34</t>
  </si>
  <si>
    <t>Комунальний заклад "Златопільський краєзнавчий музей" Златопільської міської ради Харківської області</t>
  </si>
  <si>
    <t>64102, Харківська область, Лозівський район, місто Златопіль, 3 мікрорайон, будинок 35</t>
  </si>
  <si>
    <t>Комунальна установа "Копичинецький музей театрального мистецтва Тернопільщини"</t>
  </si>
  <si>
    <t>м.Копичинці, вул.Шевченка, 13</t>
  </si>
  <si>
    <t>7105</t>
  </si>
  <si>
    <t>Херсонський обласний краєзнавчий музей</t>
  </si>
  <si>
    <t>73010, м. Херсон, вул. Соборна, 9</t>
  </si>
  <si>
    <t>КЗ "Краєзнавчий музей ім. Т.А. Суліми Печенізької селищної ради"</t>
  </si>
  <si>
    <t>62801, Харківська область, Чугуївський район, смт. Печеніги, пров. Поштовий, 1</t>
  </si>
  <si>
    <t>Комунальна установа Збаразької міської ради "Музей російсько-української війни"</t>
  </si>
  <si>
    <t>47302, м.Збараж, вул.Грушевського, буд. 18, Тернопільський район</t>
  </si>
  <si>
    <t>Комунальна установа Тернопільської обласної ради "Музей національно-визвольної боротьби Тернопільщини"</t>
  </si>
  <si>
    <t>46008 м. Тернопіль, вул. Медова 5</t>
  </si>
  <si>
    <t> 26308</t>
  </si>
  <si>
    <t>КЗК "Слобожанський краєзнавчий музей" Кегичівської селищної ради</t>
  </si>
  <si>
    <t>64020, Харківська обл., Красноградський р-н, смт Слобожанське, вул. Олянича, 1а</t>
  </si>
  <si>
    <t>Комунальний заклад "Гусятинський краєзнавчий музей" Гусятинської селищної ради</t>
  </si>
  <si>
    <t>48201, селище Гусятин, вул. Тернопільська, 5</t>
  </si>
  <si>
    <t>15496</t>
  </si>
  <si>
    <t>Комунальний заклад "Богодухівський краєзнавчий музей" Богодухівської міської ради Харківської області</t>
  </si>
  <si>
    <t>62103, вул. Захисників України,24, м. Богодухів Харківської області</t>
  </si>
  <si>
    <t>Комунальний заклад "Меморіальний музей Соломії Крушельницької" Білецької сільської ради</t>
  </si>
  <si>
    <t>47707, Тернопільська область, Тернопільський район, вул. Крушельницької, 46-а</t>
  </si>
  <si>
    <t>3230</t>
  </si>
  <si>
    <t>Комунальний заклад "Зміївський краєзнавчий музей"</t>
  </si>
  <si>
    <t>63404, м. Зміїв, Майдан Соборний, 6</t>
  </si>
  <si>
    <t>Кременецький краєзнавчий музей</t>
  </si>
  <si>
    <t>47003, м. Кременець, вул. Шевченка,90</t>
  </si>
  <si>
    <t>70145</t>
  </si>
  <si>
    <t>Музейна резиденція Чорткова Чортківської міської ради</t>
  </si>
  <si>
    <t>48500,м.Чортків, вул.Залізнична,33</t>
  </si>
  <si>
    <t>Комунальний заклад "Сахновщинський краєзнавчий музей"</t>
  </si>
  <si>
    <t>64501, Полтавська вулиця, 14, селище Сахновщина, Красноградський район</t>
  </si>
  <si>
    <t>Комунальний заклад культури "Хмельницький обласний художній музей"</t>
  </si>
  <si>
    <t>29007 Хмельницька обл. м. Хмельницький, вул Проскурівська, 47</t>
  </si>
  <si>
    <t>Музейний комплекс "Лемківське село"</t>
  </si>
  <si>
    <t>48301, м. Монастириська, вул. Шевченка 59А</t>
  </si>
  <si>
    <t>Комунальний заклад культури Писарівський етнографічний музей під відкритим небом "Українська слобода" Золочівської селищної ради</t>
  </si>
  <si>
    <t>62232 Харківська область, Богодухівський район, с. Писарівка, вул. Слобожанська 9Б</t>
  </si>
  <si>
    <t>Обласний комунальний літературно-меморіальний музей Юліуша Словацького в м.Кременці</t>
  </si>
  <si>
    <t>Національний історико-архітектурний заповідник "Кам'янець"</t>
  </si>
  <si>
    <t>47003, Україна, м.Кременець, вул.Словацького 16</t>
  </si>
  <si>
    <t>32300, м.Кам'янець-Подільський, вул. П'ятницька, 9</t>
  </si>
  <si>
    <t>6718</t>
  </si>
  <si>
    <t>Підволочиський краєзнавчий музей ім. Омеляна Ковча</t>
  </si>
  <si>
    <t>Музей історії Харківського національного університету радіоелектроніки</t>
  </si>
  <si>
    <t>47801, селище Підволочиськ, вул. Д. Галицького, 37</t>
  </si>
  <si>
    <t>61166, м. Харків, проспект Науки 14</t>
  </si>
  <si>
    <t>4,772</t>
  </si>
  <si>
    <t>Білогірський районний історико-краєзнавчий музей</t>
  </si>
  <si>
    <t>30200, Хмельницька область, Шепетівський район, смт.Білогір'я, вул.Шевченка, 45</t>
  </si>
  <si>
    <t>Тилявський літературно-меморіальний музей Уласа Самчука</t>
  </si>
  <si>
    <t>47124, Україна, Кременецький р-н, Тернопільська обл., село Тилявка, вулиця Шкільна, будинок 5</t>
  </si>
  <si>
    <t>4,648</t>
  </si>
  <si>
    <t>Комунальний заклад "Кам'янець-Подільський державний історичний музей-заповідник"</t>
  </si>
  <si>
    <t>32300, Хмельницька область, м. Кам'янець-Подільський, вул. Іоанно-Предтечинська 2</t>
  </si>
  <si>
    <t>Шумський краєзнавчий музей</t>
  </si>
  <si>
    <t>Україна, 47100 Тернопільська обл., Кременецький р-н, м.Шумськ, вул Шевченка, 8</t>
  </si>
  <si>
    <t>12975</t>
  </si>
  <si>
    <t>Ягільницький народний музей історії села</t>
  </si>
  <si>
    <t>48542, Тернопільська обл, Чортківський р-н, с.Ягільниця</t>
  </si>
  <si>
    <t>Комунальний заклад "Ярмолинецький історичний музей" Ярмолинецької селищної ради Хмельницької області</t>
  </si>
  <si>
    <t>32100, Хмельницька область., селище міського типу Ярмолинці, вул. Захисників України, 2</t>
  </si>
  <si>
    <t>Державний історико-культурний заповідник "Межибіж"</t>
  </si>
  <si>
    <t>31530 Хмельницька обл., Хмельницький р-н, селище Меджибіж, вул. Замкова, 1</t>
  </si>
  <si>
    <t>Комунальний заклад "Ізяславський центр культурних послуг" Ізяславської міської ради</t>
  </si>
  <si>
    <t>30300, Хмельницька область, Шепетівський район, м.Ізяслав, вул. Шевченка, 40-А</t>
  </si>
  <si>
    <t>Національний історико-культурний заповідник "Чигирин"</t>
  </si>
  <si>
    <t>20901 м.Чигирин, вул.М.Грушевського, 26</t>
  </si>
  <si>
    <t>Музей історії міста Хмельницького</t>
  </si>
  <si>
    <t>29000, м.Хмельницький, вул.Проскурівська, 30</t>
  </si>
  <si>
    <t>Національний заповідник "Батьківщина Тараса Шевченка"</t>
  </si>
  <si>
    <t>20214 Черкаська область Звенигородський район село Шевченкове, вул.Бондарівська, 33</t>
  </si>
  <si>
    <t>Комунальний заклад культури "Хмельницький обласний літературний музей"</t>
  </si>
  <si>
    <t>29013 Хмельницька облсть, м. Хмельницький, вул. Грушевського 68</t>
  </si>
  <si>
    <t>Державний історико-культурний заповідник "Трипільська культура"</t>
  </si>
  <si>
    <t>20435, Черкаська область, Звенигородський район, село Легедзине, вул Прикордонників, 5</t>
  </si>
  <si>
    <t>Комунальний заклад Дунаєвецької міської ради "Історико-краєзнавчий музей"</t>
  </si>
  <si>
    <t>32400 м.Дунаївці,вул. Шевченка 31,Кам'янець-Подільський район,Хмельницька область.</t>
  </si>
  <si>
    <t>КОМУНАЛЬНИЙ ЗАКЛАД МАНЬКІВСЬКИЙ СЕЛИЩНИЙ КРАЄЗНАВЧИЙ МУЗЕЙ МАНЬКІВСЬКОЇ СЕЛИЩНОЇ РАДИ ЧЕРКАСЬКОЇ ОБЛАСТІ</t>
  </si>
  <si>
    <t>Україна, 20141, Черкаська обл., Уманський р-н, село Дзензелівка, вул.Центральна, будинок 12</t>
  </si>
  <si>
    <t>Деражнянський міський історичний музей Деражнянської міської ради Хмельницької області</t>
  </si>
  <si>
    <t>32200, Хмельницька область, Хмельницький район, м. Деражня, вул. Миру, 42.</t>
  </si>
  <si>
    <t>Комунальний заклад Уманський краєзнавчий музей</t>
  </si>
  <si>
    <t>20300, Черкаська обл., місто Умань, ВУЛИЦЯ НЕЗАЛЕЖНОСТІ, будинок 31</t>
  </si>
  <si>
    <t>Нетішинський міський краєзнавчий музей</t>
  </si>
  <si>
    <t>Чернівецький обласний краєзнавчий музей</t>
  </si>
  <si>
    <t>30100, проспект Незалежності,29/2, м.Нетішин, Шепетівський р-н, Хмельницька обл.</t>
  </si>
  <si>
    <t>58002, м.Чернівці,вул.Ольги Кобилянської,28</t>
  </si>
  <si>
    <t>КУ "Чернівецький обласний художній музей"</t>
  </si>
  <si>
    <t>58002 м. Чернівці, Центральна площа, 10</t>
  </si>
  <si>
    <t>Державний історико-культурний заповідник "Самчики"</t>
  </si>
  <si>
    <t>31182 Хмельницька область Хмельницький район село Самчики вулиця Самчики 1А</t>
  </si>
  <si>
    <t>Комунальний заклад "Бахмацький історичний музей імені Миколи Гнатовича Яременка" Бахмацької міської ради</t>
  </si>
  <si>
    <t>16500, Чернігівська область, Ніжинський район, місто Бахмач, вулиця Б.Хмельницького, будинок 21</t>
  </si>
  <si>
    <t>Чернівецький обласний меморіальний музей Володимира Івасюка</t>
  </si>
  <si>
    <t>58003 м. Чернівці, вул. Дзюби Івана, 40/1</t>
  </si>
  <si>
    <t>Історичний музей Полонської міської ради ОТГ</t>
  </si>
  <si>
    <t>30501 Хмельницька область, Шепетівський район, м.Полонне, вул. Лесі Українки,95</t>
  </si>
  <si>
    <t>Комунальний заклад "Чернівецький обласний музей народної архітектури та побуту"</t>
  </si>
  <si>
    <t>58023, м. Чернівці, вул. Світловодська, 2</t>
  </si>
  <si>
    <t>Національний історико-культурний заповідник "Гетьманська столиця"</t>
  </si>
  <si>
    <t>16512 м. Батурин, вул. Гетьманська, 74</t>
  </si>
  <si>
    <t>Сокирянська філія комунального закладу "Центр культурних послуг Сокирянської міської ради" "Історичний музей"</t>
  </si>
  <si>
    <t>60200, м. Сокиряни, вул. Шевченка, 5, Дністровський район, Чернівецька область</t>
  </si>
  <si>
    <t>КЗ "Славутський історичний музей"</t>
  </si>
  <si>
    <t>м.Славута вул.Я.Мудрого,48</t>
  </si>
  <si>
    <t>Комунальний заклад "Чернігівський обласний художній музей імені Григорія Галагана" Чернігівської обласної ради</t>
  </si>
  <si>
    <t>Державний історико-архітектурний заповідник "Хотинська фортеця"</t>
  </si>
  <si>
    <t>м. Чернігів, вул. Музейна, 6</t>
  </si>
  <si>
    <t>60000, Чернівецька, область, Дністровський район, м. Хотин, вул. Незалежності, 28-б</t>
  </si>
  <si>
    <t>Комунальний заклад "Чорноострівський літературно-краєзнавчий музей ім.Л.Глібова"</t>
  </si>
  <si>
    <t>31310 смт. Чорний Острів, пров. Вовчогоранський, 2, Хмельницька обл., Хмельницький р-н</t>
  </si>
  <si>
    <t>Коболчинська філія комунального закладу "Центр культурних послуг Сокирянської міської ради" "Музей гончарства села Коболчин"</t>
  </si>
  <si>
    <t>60231, с. Коболчин, провулок Шкільний, 1, Дністровський район, Чернівецька область</t>
  </si>
  <si>
    <t>Комунальний заклад Новгород-Сіверський історико-культурний музей-заповідник "Слово о полку Ігоревім"</t>
  </si>
  <si>
    <t>16000 м.Новгород-Сіверський вул.Слобідська,1 Чернігівська область</t>
  </si>
  <si>
    <t>Комунальний заклад "Берегометський краєзнавчий музей"</t>
  </si>
  <si>
    <t>59233 смт. Берегомет, вул. Кобилянської,4</t>
  </si>
  <si>
    <t>Комунальний заклад культури "Історико-культурний центр-музей "Старий Костянтинів" Старокостянтинівської міської ради</t>
  </si>
  <si>
    <t>31100, Хмельницька область, Хмельницький район, м.Старокостянтинів, вул.Замкова 1-А</t>
  </si>
  <si>
    <t>Національний архітектурно-історичний заповідник "Чернігів стародавній"</t>
  </si>
  <si>
    <t>м. Чернігів, вул. Преображенська, 1</t>
  </si>
  <si>
    <t>Комунальний заклад культури "Малієвецький обласний історико-культурний музей"</t>
  </si>
  <si>
    <t>32432, Хмельницька область, Кам'янець-Подільський район, село Маліївці</t>
  </si>
  <si>
    <t>Прилуцький краєзнавчий музей ім. В.І.Маслова</t>
  </si>
  <si>
    <t>17500, м. Прилуки, вул. Київська, 277</t>
  </si>
  <si>
    <t>Комунальний заклад культури "Музей пропаганди" Хмельницької обласної ради</t>
  </si>
  <si>
    <t>30400, Хмельницька обл., м Шепетівка, вул. Соборності,2</t>
  </si>
  <si>
    <t>Національний історико-культурний заповідник "Качанівка"</t>
  </si>
  <si>
    <t>16735 с.Качанівка, вул. Глінки, 1</t>
  </si>
  <si>
    <t>Комунальний заклад культури "Хмельницький обласний краєзнавчий музей"</t>
  </si>
  <si>
    <t>29000, м. Хмельницький, вул. Подільська, 12</t>
  </si>
  <si>
    <t>Чернігівський обласний історичний музей ім. В.В. Тарновського</t>
  </si>
  <si>
    <t>14000, Черніігвська область, м. Чернігів, вул. Музейна 4</t>
  </si>
  <si>
    <t>Новоушицький історико-краєзнавчий музей</t>
  </si>
  <si>
    <t>32600 Хмельницька область Камянець-Подільський район селище Нова Ушиця вул. Подільська,12</t>
  </si>
  <si>
    <t>Комунальний заклад «Історико-археологічний музейний комплекс «Древній Любеч» Чернігівської обласної ради</t>
  </si>
  <si>
    <t>15041, смт. Любеч, вул Преображенська, 26</t>
  </si>
  <si>
    <t>Національний музей мистецтв імені Богдана та Варвари Ханенків</t>
  </si>
  <si>
    <t>м. Київ, вул. Терещенківська, 15-17</t>
  </si>
  <si>
    <t>Хмельницький музей-студія фотомистецтва</t>
  </si>
  <si>
    <t>29000 Хмельницька область, м. Хмельницький, вул. Проскурівська, 56</t>
  </si>
  <si>
    <t>Сосницький літературно-меморіальний музей О.П.Довженка</t>
  </si>
  <si>
    <t>16100, Чернігівська область, с.Сосниця, 2-й пров. Довженка,2</t>
  </si>
  <si>
    <t>Національний військово-історичний музей України</t>
  </si>
  <si>
    <t>01021, м. Київ, вул. Грушевського 30/1</t>
  </si>
  <si>
    <t>Національний музей Голодомору-геноциду</t>
  </si>
  <si>
    <t>м. Київ, вул. Лаврська, 3</t>
  </si>
  <si>
    <t>Національний музей історії України у Другій світовій війні. Меморіальний комплекс</t>
  </si>
  <si>
    <t>01015, м. Київ, вул. Лаврська, 24</t>
  </si>
  <si>
    <t>Національний заповідник "Києво-Печерська лавра"</t>
  </si>
  <si>
    <t>м.Київ, вул. Лаврська, 9</t>
  </si>
  <si>
    <t>Національний музей "Київська картинна галерея"</t>
  </si>
  <si>
    <t>01024, Україна, Київ, вул. Терещенківська, 9</t>
  </si>
  <si>
    <t>Державний музей авіації імені О.К. Антонова Державного некомерційного підприємства "Державний університет "Київський авіаційний інститут»</t>
  </si>
  <si>
    <t>03048, м. Київ, вул. Медова, 1</t>
  </si>
  <si>
    <t>Національний музей декоративного мистецтва України</t>
  </si>
  <si>
    <t>01015, м.Київ, вулиця Лаврська, 9, корпус 29</t>
  </si>
  <si>
    <t>Національний історико-архітектурний музей "Київська фортеця</t>
  </si>
  <si>
    <t>01133 м. Київ, вул. Госпітальна, буд. 24-А</t>
  </si>
  <si>
    <t>Національний заповідник "Софія Київська"</t>
  </si>
  <si>
    <t>м.Київ, вул. Володимирська, 24</t>
  </si>
  <si>
    <t>Національний музей "Чорнобиль"</t>
  </si>
  <si>
    <t>04071 м. Київ, пров. Хорива, 1</t>
  </si>
  <si>
    <t>Національний музей медицини України</t>
  </si>
  <si>
    <t>01030, м. Київ, вул. Богдана Хмельницького, 37</t>
  </si>
  <si>
    <t>Музей історії міста Києва</t>
  </si>
  <si>
    <t>01054, м. Київ, вул.Богдана Хмельницького 7</t>
  </si>
  <si>
    <t>Національний музей літератури України</t>
  </si>
  <si>
    <t>01054, м. Київ, вул. Богдана Хмельницького, 11</t>
  </si>
  <si>
    <t>Національний музей історії України</t>
  </si>
  <si>
    <t>01001, місто Київ, вул. Володимирська, 2</t>
  </si>
  <si>
    <t>Національний історико-меморіальний заповідник "Биківнянські могили"</t>
  </si>
  <si>
    <t>01021, м. Київ, вул. Липська, 16</t>
  </si>
  <si>
    <t>Національний музей Тараса Шевченка</t>
  </si>
  <si>
    <t>01024 м.Київ, бул.Тараса Шевченка, 12</t>
  </si>
  <si>
    <t>Національний художній музей України</t>
  </si>
  <si>
    <t>01001, м. Київ, вул. Грушевського, 6</t>
  </si>
  <si>
    <t>Національний музей народної архітектури та побуту України</t>
  </si>
  <si>
    <t>м. Київ, вул. Академіка Тронька, 1</t>
  </si>
  <si>
    <t>Національний меморіальний комплекс Героїв Небесної Сотні - Музей Революції Гідності</t>
  </si>
  <si>
    <t>01015, м. Київ, вул. Лаврська, 9</t>
  </si>
  <si>
    <t>Музей театрального, музичного та кіномистецтва України</t>
  </si>
  <si>
    <t>01015, вул. Івана Мазепи, 21, корпус 24</t>
  </si>
  <si>
    <t>Науково-технічний Астрономічний музей Астрономічної обсерваторії Київського національного університету імені Тараса Шевченка</t>
  </si>
  <si>
    <t>м. Київ, вул. Обсерваторна, 3В</t>
  </si>
  <si>
    <t>Національний історико-меморіальний заповідник "Бабин Яр"</t>
  </si>
  <si>
    <t>04086, м. Київ, вул. Ю. Іллєнка, 44</t>
  </si>
  <si>
    <t>Національний центр народної культури "Музей Івана Гончара"</t>
  </si>
  <si>
    <t>01015, м.Київ, вул. Лаврська,19</t>
  </si>
  <si>
    <t>Цетральний державний архів-музей літератури і мистецтва України</t>
  </si>
  <si>
    <t>01001, м. Київ, вулиця Володимирська, 22-а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</si>
</sst>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-apple-system"/>
    </font>
    <font>
      <color rgb="FF000000"/>
      <name val="Arial"/>
    </font>
    <font>
      <b/>
      <color rgb="FF000000"/>
      <name val="Arial"/>
      <scheme val="minor"/>
    </font>
    <font>
      <color theme="1"/>
      <name val="-apple-system"/>
    </font>
    <font>
      <color theme="1"/>
      <name val="Arial"/>
    </font>
    <font>
      <color rgb="FF000000"/>
      <name val="Arial"/>
      <scheme val="minor"/>
    </font>
    <font>
      <color rgb="FF767676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0F0F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0" fontId="2" numFmtId="10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0" fontId="1" numFmtId="10" xfId="0" applyAlignment="1" applyBorder="1" applyFont="1" applyNumberFormat="1">
      <alignment shrinkToFit="0" vertical="center" wrapText="0"/>
    </xf>
    <xf borderId="1" fillId="0" fontId="2" numFmtId="3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1" numFmtId="3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3" xfId="0" applyAlignment="1" applyBorder="1" applyFont="1" applyNumberForma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5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right" readingOrder="0" shrinkToFit="0" vertical="center" wrapText="0"/>
    </xf>
    <xf borderId="1" fillId="2" fontId="5" numFmtId="0" xfId="0" applyAlignment="1" applyBorder="1" applyFont="1">
      <alignment horizontal="right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6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vertical="bottom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3" numFmtId="49" xfId="0" applyAlignment="1" applyBorder="1" applyFont="1" applyNumberFormat="1">
      <alignment readingOrder="0" shrinkToFit="0" vertical="center" wrapText="0"/>
    </xf>
    <xf borderId="1" fillId="0" fontId="2" numFmtId="3" xfId="0" applyAlignment="1" applyBorder="1" applyFont="1" applyNumberForma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0" fillId="0" fontId="7" numFmtId="0" xfId="0" applyFont="1"/>
    <xf borderId="2" fillId="2" fontId="8" numFmtId="0" xfId="0" applyAlignment="1" applyBorder="1" applyFont="1">
      <alignment horizontal="left" shrinkToFit="0" wrapText="1"/>
    </xf>
    <xf borderId="0" fillId="0" fontId="5" numFmtId="0" xfId="0" applyAlignment="1" applyFont="1">
      <alignment readingOrder="0" shrinkToFit="0" vertical="center" wrapText="0"/>
    </xf>
    <xf borderId="0" fillId="0" fontId="8" numFmtId="0" xfId="0" applyAlignment="1" applyFont="1">
      <alignment horizontal="left" shrinkToFit="0" wrapText="1"/>
    </xf>
    <xf borderId="1" fillId="0" fontId="4" numFmtId="49" xfId="0" applyAlignment="1" applyBorder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2" fillId="0" fontId="8" numFmtId="0" xfId="0" applyAlignment="1" applyBorder="1" applyFont="1">
      <alignment horizontal="left"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25">
    <tableStyle count="4" pivot="0" name="ДНІПРОПЕТРО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ДОНЕЦ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ННИЦ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ОЛИН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ЖИТОМИР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ЗАКАРПАТ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ЗАПОРІЗЬКА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ІВАНО-ФРАНКІ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КИЇ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КІРОВОГРАД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ЛУГАНСЬКА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ЛЬВІ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ИКОЛАЇ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ДЕ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ОЛТА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ІВНЕН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УМ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ТЕРНОПІЛЬ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ХАРКІ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ХЕРСОН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ХМЕЛЬНИЦ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ЧЕРКАСЬКА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ЧЕРНІВЕЦ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ЧЕРНІГІВСЬ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. КИЇВ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41" displayName="Table3" name="Table3" id="3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ВІННИЦЬКА-style" showColumnStripes="0" showFirstColumn="1" showLastColumn="1" showRowStripes="1"/>
</table>
</file>

<file path=xl/tables/table2.xml><?xml version="1.0" encoding="utf-8"?>
<table xmlns="http://schemas.openxmlformats.org/spreadsheetml/2006/main" ref="A1:L23" displayName="Table4" name="Table4" id="4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ВОЛИНСЬКА-style" showColumnStripes="0" showFirstColumn="1" showLastColumn="1" showRowStripes="1"/>
</table>
</file>

<file path=xl/tables/table3.xml><?xml version="1.0" encoding="utf-8"?>
<table xmlns="http://schemas.openxmlformats.org/spreadsheetml/2006/main" ref="A1:L35" displayName="Table5" name="Table5" id="1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ДНІПРОПЕТРОВСЬКА-style" showColumnStripes="0" showFirstColumn="1" showLastColumn="1" showRowStripes="1"/>
</table>
</file>

<file path=xl/tables/table4.xml><?xml version="1.0" encoding="utf-8"?>
<table xmlns="http://schemas.openxmlformats.org/spreadsheetml/2006/main" ref="A1:L16" displayName="Table6" name="Table6" id="2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ДОНЕЦЬКА-style" showColumnStripes="0" showFirstColumn="1" showLastColumn="1" showRowStripes="1"/>
</table>
</file>

<file path=xl/tables/table5.xml><?xml version="1.0" encoding="utf-8"?>
<table xmlns="http://schemas.openxmlformats.org/spreadsheetml/2006/main" ref="A1:L20" displayName="Table7" name="Table7" id="5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ЖИТОМИРСЬКА-style" showColumnStripes="0" showFirstColumn="1" showLastColumn="1" showRowStripes="1"/>
</table>
</file>

<file path=xl/tables/table6.xml><?xml version="1.0" encoding="utf-8"?>
<table xmlns="http://schemas.openxmlformats.org/spreadsheetml/2006/main" ref="A1:L5" displayName="Table9" name="Table9" id="6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ЗАКАРПАТСЬКА-style" showColumnStripes="0" showFirstColumn="1" showLastColumn="1" showRowStripes="1"/>
</table>
</file>

<file path=xl/tables/table7.xml><?xml version="1.0" encoding="utf-8"?>
<table xmlns="http://schemas.openxmlformats.org/spreadsheetml/2006/main" totalsRowCount="1" ref="A1:L8" displayName="Table8" name="Table8" id="7">
  <tableColumns count="12">
    <tableColumn totalsRowLabel="ВСЬОГО:" name="ЄДРПОУ" id="1"/>
    <tableColumn name="НАЗВА МУЗЕЮ" id="2"/>
    <tableColumn name="АДРЕСА" id="3"/>
    <tableColumn totalsRowFunction="custom" name="ВСЬОГО ПРЕДМЕТІВ" id="4"/>
    <tableColumn totalsRowFunction="custom" name="ВНЕСЕНО" id="5"/>
    <tableColumn totalsRowFunction="custom" name="ПОТРІБНО ВНЕСТИ" id="6"/>
    <tableColumn totalsRowFunction="custom" name="ВНЕСЕНО %" id="7"/>
    <tableColumn totalsRowFunction="custom" name="ОСНОВНИЙ ФОНД (ПІДПИСАНО)" id="8"/>
    <tableColumn totalsRowFunction="custom" name="ОСНОВНИЙ ФОНД (ВНЕСЕНО)" id="9"/>
    <tableColumn totalsRowFunction="custom" name="СПЕЦФОНД (ПІДПИСАНО)" id="10"/>
    <tableColumn totalsRowFunction="custom" name="СПЕЦФОНД (ВНЕСЕНО)" id="11"/>
    <tableColumn totalsRowFunction="custom" name="ДЕРЖАВНОГО ЗНАЧЕННЯ" id="12"/>
  </tableColumns>
  <tableStyleInfo name="ЗАПОРІЗЬКА-style" showColumnStripes="0" showFirstColumn="1" showLastColumn="1" showRowStripes="1"/>
</table>
</file>

<file path=xl/tables/table8.xml><?xml version="1.0" encoding="utf-8"?>
<table xmlns="http://schemas.openxmlformats.org/spreadsheetml/2006/main" ref="A1:L10" displayName="Table10" name="Table10" id="8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ІВАНО-ФРАНКІВСЬКА-style" showColumnStripes="0" showFirstColumn="1" showLastColumn="1" showRowStripes="1"/>
</table>
</file>

<file path=xl/tables/table9.xml><?xml version="1.0" encoding="utf-8"?>
<table xmlns="http://schemas.openxmlformats.org/spreadsheetml/2006/main" ref="A1:L22" displayName="Table11" name="Table11" id="9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КИЇВСЬКА-style" showColumnStripes="0" showFirstColumn="1" showLastColumn="1" showRowStripes="1"/>
</table>
</file>

<file path=xl/tables/table10.xml><?xml version="1.0" encoding="utf-8"?>
<table xmlns="http://schemas.openxmlformats.org/spreadsheetml/2006/main" ref="A1:L31" displayName="Table12" name="Table12" id="10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КІРОВОГРАДСЬКА-style" showColumnStripes="0" showFirstColumn="1" showLastColumn="1" showRowStripes="1"/>
</table>
</file>

<file path=xl/tables/table11.xml><?xml version="1.0" encoding="utf-8"?>
<table xmlns="http://schemas.openxmlformats.org/spreadsheetml/2006/main" totalsRowCount="1" ref="A1:L7" displayName="Table13" name="Table13" id="11">
  <tableColumns count="12">
    <tableColumn totalsRowLabel="ВСЬОГО:" name="ЄДРПОУ" id="1"/>
    <tableColumn name="НАЗВА МУЗЕЮ" id="2"/>
    <tableColumn name="АДРЕСА" id="3"/>
    <tableColumn totalsRowFunction="custom" name="ВСЬОГО ПРЕДМЕТІВ" id="4"/>
    <tableColumn totalsRowFunction="custom" name="ВНЕСЕНО" id="5"/>
    <tableColumn totalsRowFunction="custom" name="ПОТРІБНО ВНЕСТИ" id="6"/>
    <tableColumn totalsRowFunction="custom" name="ВНЕСЕНО %" id="7"/>
    <tableColumn totalsRowFunction="custom" name="ОСНОВНИЙ ФОНД (ПІДПИСАНО)" id="8"/>
    <tableColumn totalsRowFunction="custom" name="ОСНОВНИЙ ФОНД (ВНЕСЕНО)" id="9"/>
    <tableColumn totalsRowFunction="custom" name="СПЕЦФОНД (ПІДПИСАНО)" id="10"/>
    <tableColumn totalsRowFunction="custom" name="СПЕЦФОНД (ВНЕСЕНО)" id="11"/>
    <tableColumn totalsRowFunction="custom" name="ДЕРЖАВНОГО ЗНАЧЕННЯ" id="12"/>
  </tableColumns>
  <tableStyleInfo name="ЛУГАНСЬКА-style" showColumnStripes="0" showFirstColumn="1" showLastColumn="1" showRowStripes="1"/>
</table>
</file>

<file path=xl/tables/table12.xml><?xml version="1.0" encoding="utf-8"?>
<table xmlns="http://schemas.openxmlformats.org/spreadsheetml/2006/main" ref="A1:L27" displayName="Table14" name="Table14" id="12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ЛЬВІВСЬКА-style" showColumnStripes="0" showFirstColumn="1" showLastColumn="1" showRowStripes="1"/>
</table>
</file>

<file path=xl/tables/table13.xml><?xml version="1.0" encoding="utf-8"?>
<table xmlns="http://schemas.openxmlformats.org/spreadsheetml/2006/main" ref="A1:L12" displayName="Table15" name="Table15" id="13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МИКОЛАЇВСЬКА-style" showColumnStripes="0" showFirstColumn="1" showLastColumn="1" showRowStripes="1"/>
</table>
</file>

<file path=xl/tables/table14.xml><?xml version="1.0" encoding="utf-8"?>
<table xmlns="http://schemas.openxmlformats.org/spreadsheetml/2006/main" ref="A1:L25" displayName="Table16" name="Table16" id="14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ОДЕСЬКА-style" showColumnStripes="0" showFirstColumn="1" showLastColumn="1" showRowStripes="1"/>
</table>
</file>

<file path=xl/tables/table15.xml><?xml version="1.0" encoding="utf-8"?>
<table xmlns="http://schemas.openxmlformats.org/spreadsheetml/2006/main" ref="A1:L39" displayName="Table17" name="Table17" id="15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ПОЛТАВСЬКА-style" showColumnStripes="0" showFirstColumn="1" showLastColumn="1" showRowStripes="1"/>
</table>
</file>

<file path=xl/tables/table16.xml><?xml version="1.0" encoding="utf-8"?>
<table xmlns="http://schemas.openxmlformats.org/spreadsheetml/2006/main" ref="A1:L18" displayName="Table18" name="Table18" id="16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РІВНЕНСЬКА-style" showColumnStripes="0" showFirstColumn="1" showLastColumn="1" showRowStripes="1"/>
</table>
</file>

<file path=xl/tables/table17.xml><?xml version="1.0" encoding="utf-8"?>
<table xmlns="http://schemas.openxmlformats.org/spreadsheetml/2006/main" ref="A1:L19" displayName="Table19" name="Table19" id="17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СУМСЬКА-style" showColumnStripes="0" showFirstColumn="1" showLastColumn="1" showRowStripes="1"/>
</table>
</file>

<file path=xl/tables/table18.xml><?xml version="1.0" encoding="utf-8"?>
<table xmlns="http://schemas.openxmlformats.org/spreadsheetml/2006/main" ref="A1:L37" displayName="Table20" name="Table20" id="18">
  <tableColumns count="12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  <tableColumn name="ДЕРЖАВНОГО ЗНАЧЕННЯ" id="12"/>
  </tableColumns>
  <tableStyleInfo name="ТЕРНОПІЛЬСЬКА-style" showColumnStripes="0" showFirstColumn="1" showLastColumn="1" showRowStripes="1"/>
</table>
</file>

<file path=xl/tables/table19.xml><?xml version="1.0" encoding="utf-8"?>
<table xmlns="http://schemas.openxmlformats.org/spreadsheetml/2006/main" ref="A1:K24" displayName="Table21" name="Table21" id="19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ХАРКІВСЬКА-style" showColumnStripes="0" showFirstColumn="1" showLastColumn="1" showRowStripes="1"/>
</table>
</file>

<file path=xl/tables/table20.xml><?xml version="1.0" encoding="utf-8"?>
<table xmlns="http://schemas.openxmlformats.org/spreadsheetml/2006/main" ref="A1:K4" displayName="Table22" name="Table22" id="20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ХЕРСОНСЬКА-style" showColumnStripes="0" showFirstColumn="1" showLastColumn="1" showRowStripes="1"/>
</table>
</file>

<file path=xl/tables/table21.xml><?xml version="1.0" encoding="utf-8"?>
<table xmlns="http://schemas.openxmlformats.org/spreadsheetml/2006/main" ref="A1:K24" displayName="Table23" name="Table23" id="21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ХМЕЛЬНИЦЬКА-style" showColumnStripes="0" showFirstColumn="1" showLastColumn="1" showRowStripes="1"/>
</table>
</file>

<file path=xl/tables/table22.xml><?xml version="1.0" encoding="utf-8"?>
<table xmlns="http://schemas.openxmlformats.org/spreadsheetml/2006/main" totalsRowCount="1" ref="A1:K7" displayName="Table24" name="Table24" id="22">
  <tableColumns count="11">
    <tableColumn totalsRowLabel="ВСЬОГО:" name="ЄДРПОУ" id="1"/>
    <tableColumn name="НАЗВА МУЗЕЮ" id="2"/>
    <tableColumn name="АДРЕСА" id="3"/>
    <tableColumn totalsRowFunction="custom" name="ВСЬОГО ПРЕДМЕТІВ" id="4"/>
    <tableColumn totalsRowFunction="custom" name="ВНЕСЕНО" id="5"/>
    <tableColumn totalsRowFunction="custom" name="ПОТРІБНО ВНЕСТИ" id="6"/>
    <tableColumn totalsRowFunction="custom" name="ВНЕСЕНО %" id="7"/>
    <tableColumn totalsRowFunction="custom" name="ОСНОВНИЙ ФОНД (ПІДПИСАНО)" id="8"/>
    <tableColumn totalsRowFunction="custom" name="ОСНОВНИЙ ФОНД (ВНЕСЕНО)" id="9"/>
    <tableColumn totalsRowFunction="custom" name="СПЕЦФОНД (ПІДПИСАНО)" id="10"/>
    <tableColumn totalsRowFunction="custom" name="СПЕЦФОНД (ВНЕСЕНО)" id="11"/>
  </tableColumns>
  <tableStyleInfo name="ЧЕРКАСЬКА-style" showColumnStripes="0" showFirstColumn="1" showLastColumn="1" showRowStripes="1"/>
</table>
</file>

<file path=xl/tables/table23.xml><?xml version="1.0" encoding="utf-8"?>
<table xmlns="http://schemas.openxmlformats.org/spreadsheetml/2006/main" ref="A1:K10" displayName="Table25" name="Table25" id="23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ЧЕРНІВЕЦЬКА-style" showColumnStripes="0" showFirstColumn="1" showLastColumn="1" showRowStripes="1"/>
</table>
</file>

<file path=xl/tables/table24.xml><?xml version="1.0" encoding="utf-8"?>
<table xmlns="http://schemas.openxmlformats.org/spreadsheetml/2006/main" ref="A1:K12" displayName="Table2" name="Table2" id="24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ЧЕРНІГІВСЬКА-style" showColumnStripes="0" showFirstColumn="1" showLastColumn="1" showRowStripes="1"/>
</table>
</file>

<file path=xl/tables/table25.xml><?xml version="1.0" encoding="utf-8"?>
<table xmlns="http://schemas.openxmlformats.org/spreadsheetml/2006/main" ref="A1:K27" displayName="Table1" name="Table1" id="25">
  <tableColumns count="11">
    <tableColumn name="ЄДРПОУ" id="1"/>
    <tableColumn name="НАЗВА МУЗЕЮ" id="2"/>
    <tableColumn name="АДРЕСА" id="3"/>
    <tableColumn name="ВСЬОГО ПРЕДМЕТІВ" id="4"/>
    <tableColumn name="ВНЕСЕНО" id="5"/>
    <tableColumn name="ПОТРІБНО ВНЕСТИ" id="6"/>
    <tableColumn name="ВНЕСЕНО %" id="7"/>
    <tableColumn name="ОСНОВНИЙ ФОНД (ПІДПИСАНО)" id="8"/>
    <tableColumn name="ОСНОВНИЙ ФОНД (ВНЕСЕНО)" id="9"/>
    <tableColumn name="СПЕЦФОНД (ПІДПИСАНО)" id="10"/>
    <tableColumn name="СПЕЦФОНД (ВНЕСЕНО)" id="11"/>
  </tableColumns>
  <tableStyleInfo name="М. КИЇВ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8.0"/>
    <col customWidth="1" min="3" max="3" width="17.25"/>
    <col customWidth="1" min="4" max="4" width="15.63"/>
    <col customWidth="1" min="5" max="5" width="15.13"/>
    <col customWidth="1" min="6" max="6" width="15.88"/>
    <col customWidth="1" min="7" max="7" width="17.88"/>
    <col customWidth="1" min="8" max="8" width="17.5"/>
    <col customWidth="1" min="9" max="9" width="15.75"/>
    <col customWidth="1" min="10" max="10" width="16.75"/>
    <col customWidth="1" min="11" max="11" width="15.75"/>
    <col customWidth="1" min="12" max="12" width="16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4">
        <v>3.6892043E7</v>
      </c>
      <c r="B2" s="5" t="s">
        <v>26</v>
      </c>
      <c r="C2" s="5" t="s">
        <v>27</v>
      </c>
      <c r="D2" s="7">
        <v>3183.0</v>
      </c>
      <c r="E2" s="8">
        <v>2971.0</v>
      </c>
      <c r="F2" s="8">
        <f t="shared" ref="F2:F20" si="1"> MINUS(D2,E2)</f>
        <v>212</v>
      </c>
      <c r="G2" s="16">
        <f t="shared" ref="G2:G20" si="2">E2/D2</f>
        <v>0.9333961671</v>
      </c>
      <c r="H2" s="8">
        <v>2966.0</v>
      </c>
      <c r="I2" s="8">
        <v>2966.0</v>
      </c>
      <c r="J2" s="8">
        <v>5.0</v>
      </c>
      <c r="K2" s="8">
        <v>5.0</v>
      </c>
      <c r="L2" s="13">
        <v>1.0</v>
      </c>
    </row>
    <row r="3" ht="22.5" customHeight="1">
      <c r="A3" s="4">
        <v>2.6141927E7</v>
      </c>
      <c r="B3" s="5" t="s">
        <v>32</v>
      </c>
      <c r="C3" s="5" t="s">
        <v>33</v>
      </c>
      <c r="D3" s="7">
        <v>3614.0</v>
      </c>
      <c r="E3" s="8">
        <v>2520.0</v>
      </c>
      <c r="F3" s="8">
        <f t="shared" si="1"/>
        <v>1094</v>
      </c>
      <c r="G3" s="16">
        <f t="shared" si="2"/>
        <v>0.6972883232</v>
      </c>
      <c r="H3" s="8">
        <v>2520.0</v>
      </c>
      <c r="I3" s="8">
        <v>2520.0</v>
      </c>
      <c r="J3" s="8">
        <v>0.0</v>
      </c>
      <c r="K3" s="8">
        <v>0.0</v>
      </c>
      <c r="L3" s="13">
        <v>1.0</v>
      </c>
    </row>
    <row r="4" ht="22.5" customHeight="1">
      <c r="A4" s="4">
        <v>4.4795581E7</v>
      </c>
      <c r="B4" s="5" t="s">
        <v>40</v>
      </c>
      <c r="C4" s="5" t="s">
        <v>41</v>
      </c>
      <c r="D4" s="7">
        <v>3380.0</v>
      </c>
      <c r="E4" s="8">
        <v>2416.0</v>
      </c>
      <c r="F4" s="8">
        <f t="shared" si="1"/>
        <v>964</v>
      </c>
      <c r="G4" s="16">
        <f t="shared" si="2"/>
        <v>0.7147928994</v>
      </c>
      <c r="H4" s="8">
        <v>2396.0</v>
      </c>
      <c r="I4" s="8">
        <v>2416.0</v>
      </c>
      <c r="J4" s="8">
        <v>0.0</v>
      </c>
      <c r="K4" s="8">
        <v>0.0</v>
      </c>
      <c r="L4" s="13"/>
    </row>
    <row r="5" ht="22.5" customHeight="1">
      <c r="A5" s="4">
        <v>2.0087859E7</v>
      </c>
      <c r="B5" s="5" t="s">
        <v>48</v>
      </c>
      <c r="C5" s="5" t="s">
        <v>49</v>
      </c>
      <c r="D5" s="7">
        <v>6967.0</v>
      </c>
      <c r="E5" s="8">
        <v>1766.0</v>
      </c>
      <c r="F5" s="8">
        <f t="shared" si="1"/>
        <v>5201</v>
      </c>
      <c r="G5" s="16">
        <f t="shared" si="2"/>
        <v>0.2534806947</v>
      </c>
      <c r="H5" s="8">
        <v>3.0</v>
      </c>
      <c r="I5" s="8">
        <v>1766.0</v>
      </c>
      <c r="J5" s="8">
        <v>0.0</v>
      </c>
      <c r="K5" s="8">
        <v>0.0</v>
      </c>
      <c r="L5" s="13">
        <v>1.0</v>
      </c>
    </row>
    <row r="6" ht="22.5" customHeight="1">
      <c r="A6" s="4">
        <v>4.0985369E7</v>
      </c>
      <c r="B6" s="5" t="s">
        <v>54</v>
      </c>
      <c r="C6" s="5" t="s">
        <v>55</v>
      </c>
      <c r="D6" s="7">
        <v>1725.0</v>
      </c>
      <c r="E6" s="8">
        <v>1725.0</v>
      </c>
      <c r="F6" s="8">
        <f t="shared" si="1"/>
        <v>0</v>
      </c>
      <c r="G6" s="16">
        <f t="shared" si="2"/>
        <v>1</v>
      </c>
      <c r="H6" s="8">
        <v>1717.0</v>
      </c>
      <c r="I6" s="8">
        <v>1725.0</v>
      </c>
      <c r="J6" s="8">
        <v>0.0</v>
      </c>
      <c r="K6" s="8">
        <v>0.0</v>
      </c>
      <c r="L6" s="13">
        <v>1.0</v>
      </c>
    </row>
    <row r="7" ht="22.5" customHeight="1">
      <c r="A7" s="4">
        <v>4.3236725E7</v>
      </c>
      <c r="B7" s="5" t="s">
        <v>61</v>
      </c>
      <c r="C7" s="5" t="s">
        <v>63</v>
      </c>
      <c r="D7" s="7">
        <v>1671.0</v>
      </c>
      <c r="E7" s="8">
        <v>1671.0</v>
      </c>
      <c r="F7" s="8">
        <f t="shared" si="1"/>
        <v>0</v>
      </c>
      <c r="G7" s="16">
        <f t="shared" si="2"/>
        <v>1</v>
      </c>
      <c r="H7" s="8">
        <v>1657.0</v>
      </c>
      <c r="I7" s="8">
        <v>1671.0</v>
      </c>
      <c r="J7" s="8">
        <v>0.0</v>
      </c>
      <c r="K7" s="8">
        <v>0.0</v>
      </c>
      <c r="L7" s="13">
        <v>1.0</v>
      </c>
    </row>
    <row r="8" ht="22.5" customHeight="1">
      <c r="A8" s="4">
        <v>2226197.0</v>
      </c>
      <c r="B8" s="5" t="s">
        <v>64</v>
      </c>
      <c r="C8" s="5" t="s">
        <v>65</v>
      </c>
      <c r="D8" s="7">
        <v>139383.0</v>
      </c>
      <c r="E8" s="8">
        <v>1222.0</v>
      </c>
      <c r="F8" s="8">
        <f t="shared" si="1"/>
        <v>138161</v>
      </c>
      <c r="G8" s="16">
        <f t="shared" si="2"/>
        <v>0.008767209775</v>
      </c>
      <c r="H8" s="8">
        <v>0.0</v>
      </c>
      <c r="I8" s="8">
        <v>1222.0</v>
      </c>
      <c r="J8" s="8">
        <v>0.0</v>
      </c>
      <c r="K8" s="8">
        <v>0.0</v>
      </c>
      <c r="L8" s="13">
        <v>1.0</v>
      </c>
    </row>
    <row r="9" ht="22.5" customHeight="1">
      <c r="A9" s="4">
        <v>2131798.0</v>
      </c>
      <c r="B9" s="5" t="s">
        <v>72</v>
      </c>
      <c r="C9" s="5" t="s">
        <v>73</v>
      </c>
      <c r="D9" s="7">
        <v>13001.0</v>
      </c>
      <c r="E9" s="8">
        <v>1116.0</v>
      </c>
      <c r="F9" s="8">
        <f t="shared" si="1"/>
        <v>11885</v>
      </c>
      <c r="G9" s="16">
        <f t="shared" si="2"/>
        <v>0.0858395508</v>
      </c>
      <c r="H9" s="8">
        <v>321.0</v>
      </c>
      <c r="I9" s="8">
        <v>1102.0</v>
      </c>
      <c r="J9" s="8">
        <v>13.0</v>
      </c>
      <c r="K9" s="8">
        <v>14.0</v>
      </c>
      <c r="L9" s="13">
        <v>1.0</v>
      </c>
    </row>
    <row r="10" ht="22.5" customHeight="1">
      <c r="A10" s="4">
        <v>3.9449412E7</v>
      </c>
      <c r="B10" s="5" t="s">
        <v>78</v>
      </c>
      <c r="C10" s="5" t="s">
        <v>79</v>
      </c>
      <c r="D10" s="7">
        <v>2011.0</v>
      </c>
      <c r="E10" s="8">
        <v>956.0</v>
      </c>
      <c r="F10" s="8">
        <f t="shared" si="1"/>
        <v>1055</v>
      </c>
      <c r="G10" s="16">
        <f t="shared" si="2"/>
        <v>0.4753853804</v>
      </c>
      <c r="H10" s="8">
        <v>225.0</v>
      </c>
      <c r="I10" s="8">
        <v>956.0</v>
      </c>
      <c r="J10" s="8">
        <v>0.0</v>
      </c>
      <c r="K10" s="8">
        <v>0.0</v>
      </c>
      <c r="L10" s="13">
        <v>1.0</v>
      </c>
    </row>
    <row r="11" ht="22.5" customHeight="1">
      <c r="A11" s="4">
        <v>3.8343973E7</v>
      </c>
      <c r="B11" s="5" t="s">
        <v>86</v>
      </c>
      <c r="C11" s="5" t="s">
        <v>87</v>
      </c>
      <c r="D11" s="7">
        <v>1355.0</v>
      </c>
      <c r="E11" s="8">
        <v>928.0</v>
      </c>
      <c r="F11" s="8">
        <f t="shared" si="1"/>
        <v>427</v>
      </c>
      <c r="G11" s="16">
        <f t="shared" si="2"/>
        <v>0.6848708487</v>
      </c>
      <c r="H11" s="8">
        <v>878.0</v>
      </c>
      <c r="I11" s="8">
        <v>928.0</v>
      </c>
      <c r="J11" s="8">
        <v>0.0</v>
      </c>
      <c r="K11" s="8">
        <v>0.0</v>
      </c>
      <c r="L11" s="13">
        <v>1.0</v>
      </c>
    </row>
    <row r="12" ht="22.5" customHeight="1">
      <c r="A12" s="4">
        <v>3.6166115E7</v>
      </c>
      <c r="B12" s="5" t="s">
        <v>89</v>
      </c>
      <c r="C12" s="5" t="s">
        <v>91</v>
      </c>
      <c r="D12" s="7">
        <v>2804.0</v>
      </c>
      <c r="E12" s="8">
        <v>913.0</v>
      </c>
      <c r="F12" s="8">
        <f t="shared" si="1"/>
        <v>1891</v>
      </c>
      <c r="G12" s="16">
        <f t="shared" si="2"/>
        <v>0.3256062767</v>
      </c>
      <c r="H12" s="8">
        <v>685.0</v>
      </c>
      <c r="I12" s="8">
        <v>913.0</v>
      </c>
      <c r="J12" s="8">
        <v>0.0</v>
      </c>
      <c r="K12" s="8">
        <v>0.0</v>
      </c>
      <c r="L12" s="13">
        <v>1.0</v>
      </c>
    </row>
    <row r="13" ht="22.5" customHeight="1">
      <c r="A13" s="4">
        <v>4.1558831E7</v>
      </c>
      <c r="B13" s="5" t="s">
        <v>96</v>
      </c>
      <c r="C13" s="5" t="s">
        <v>97</v>
      </c>
      <c r="D13" s="7">
        <v>774.0</v>
      </c>
      <c r="E13" s="8">
        <v>774.0</v>
      </c>
      <c r="F13" s="8">
        <f t="shared" si="1"/>
        <v>0</v>
      </c>
      <c r="G13" s="16">
        <f t="shared" si="2"/>
        <v>1</v>
      </c>
      <c r="H13" s="8">
        <v>753.0</v>
      </c>
      <c r="I13" s="8">
        <v>774.0</v>
      </c>
      <c r="J13" s="8">
        <v>0.0</v>
      </c>
      <c r="K13" s="8">
        <v>0.0</v>
      </c>
      <c r="L13" s="13">
        <v>1.0</v>
      </c>
    </row>
    <row r="14" ht="22.5" customHeight="1">
      <c r="A14" s="4">
        <v>3.8815264E7</v>
      </c>
      <c r="B14" s="5" t="s">
        <v>102</v>
      </c>
      <c r="C14" s="5" t="s">
        <v>103</v>
      </c>
      <c r="D14" s="7">
        <v>18045.0</v>
      </c>
      <c r="E14" s="8">
        <v>722.0</v>
      </c>
      <c r="F14" s="8">
        <f t="shared" si="1"/>
        <v>17323</v>
      </c>
      <c r="G14" s="16">
        <f t="shared" si="2"/>
        <v>0.0400110834</v>
      </c>
      <c r="H14" s="8">
        <v>484.0</v>
      </c>
      <c r="I14" s="8">
        <v>722.0</v>
      </c>
      <c r="J14" s="8">
        <v>0.0</v>
      </c>
      <c r="K14" s="8">
        <v>0.0</v>
      </c>
      <c r="L14" s="13">
        <v>1.0</v>
      </c>
    </row>
    <row r="15" ht="22.5" customHeight="1">
      <c r="A15" s="4">
        <v>3.8046151E7</v>
      </c>
      <c r="B15" s="5" t="s">
        <v>105</v>
      </c>
      <c r="C15" s="5" t="s">
        <v>106</v>
      </c>
      <c r="D15" s="7">
        <v>2241.0</v>
      </c>
      <c r="E15" s="8">
        <v>719.0</v>
      </c>
      <c r="F15" s="8">
        <f t="shared" si="1"/>
        <v>1522</v>
      </c>
      <c r="G15" s="16">
        <f t="shared" si="2"/>
        <v>0.3208389112</v>
      </c>
      <c r="H15" s="8">
        <v>0.0</v>
      </c>
      <c r="I15" s="8">
        <v>719.0</v>
      </c>
      <c r="J15" s="8">
        <v>0.0</v>
      </c>
      <c r="K15" s="8">
        <v>0.0</v>
      </c>
      <c r="L15" s="13">
        <v>1.0</v>
      </c>
    </row>
    <row r="16" ht="22.5" customHeight="1">
      <c r="A16" s="4">
        <v>4.5767576E7</v>
      </c>
      <c r="B16" s="5" t="s">
        <v>111</v>
      </c>
      <c r="C16" s="5" t="s">
        <v>112</v>
      </c>
      <c r="D16" s="8">
        <v>1430.0</v>
      </c>
      <c r="E16" s="8">
        <v>714.0</v>
      </c>
      <c r="F16" s="8">
        <f t="shared" si="1"/>
        <v>716</v>
      </c>
      <c r="G16" s="16">
        <f t="shared" si="2"/>
        <v>0.4993006993</v>
      </c>
      <c r="H16" s="8">
        <v>692.0</v>
      </c>
      <c r="I16" s="8">
        <v>714.0</v>
      </c>
      <c r="J16" s="8">
        <v>0.0</v>
      </c>
      <c r="K16" s="8">
        <v>0.0</v>
      </c>
      <c r="L16" s="13"/>
    </row>
    <row r="17" ht="22.5" customHeight="1">
      <c r="A17" s="4">
        <v>3.8406671E7</v>
      </c>
      <c r="B17" s="5" t="s">
        <v>116</v>
      </c>
      <c r="C17" s="5" t="s">
        <v>118</v>
      </c>
      <c r="D17" s="7">
        <v>1581.0</v>
      </c>
      <c r="E17" s="8">
        <v>681.0</v>
      </c>
      <c r="F17" s="8">
        <f t="shared" si="1"/>
        <v>900</v>
      </c>
      <c r="G17" s="16">
        <f t="shared" si="2"/>
        <v>0.430740038</v>
      </c>
      <c r="H17" s="8">
        <v>680.0</v>
      </c>
      <c r="I17" s="8">
        <v>681.0</v>
      </c>
      <c r="J17" s="8">
        <v>0.0</v>
      </c>
      <c r="K17" s="8">
        <v>0.0</v>
      </c>
      <c r="L17" s="13">
        <v>1.0</v>
      </c>
    </row>
    <row r="18" ht="22.5" customHeight="1">
      <c r="A18" s="4">
        <v>3.6721447E7</v>
      </c>
      <c r="B18" s="5" t="s">
        <v>121</v>
      </c>
      <c r="C18" s="5" t="s">
        <v>122</v>
      </c>
      <c r="D18" s="7">
        <v>3850.0</v>
      </c>
      <c r="E18" s="8">
        <v>657.0</v>
      </c>
      <c r="F18" s="8">
        <f t="shared" si="1"/>
        <v>3193</v>
      </c>
      <c r="G18" s="16">
        <f t="shared" si="2"/>
        <v>0.1706493506</v>
      </c>
      <c r="H18" s="8">
        <v>564.0</v>
      </c>
      <c r="I18" s="8">
        <v>657.0</v>
      </c>
      <c r="J18" s="8">
        <v>0.0</v>
      </c>
      <c r="K18" s="8">
        <v>0.0</v>
      </c>
      <c r="L18" s="13">
        <v>1.0</v>
      </c>
    </row>
    <row r="19" ht="22.5" customHeight="1">
      <c r="A19" s="4">
        <v>2.5983512E7</v>
      </c>
      <c r="B19" s="5" t="s">
        <v>128</v>
      </c>
      <c r="C19" s="5" t="s">
        <v>129</v>
      </c>
      <c r="D19" s="7">
        <v>2859.0</v>
      </c>
      <c r="E19" s="8">
        <v>640.0</v>
      </c>
      <c r="F19" s="8">
        <f t="shared" si="1"/>
        <v>2219</v>
      </c>
      <c r="G19" s="16">
        <f t="shared" si="2"/>
        <v>0.2238544946</v>
      </c>
      <c r="H19" s="8">
        <v>0.0</v>
      </c>
      <c r="I19" s="8">
        <v>640.0</v>
      </c>
      <c r="J19" s="8">
        <v>0.0</v>
      </c>
      <c r="K19" s="8">
        <v>0.0</v>
      </c>
      <c r="L19" s="13">
        <v>1.0</v>
      </c>
    </row>
    <row r="20" ht="22.5" customHeight="1">
      <c r="A20" s="4">
        <v>2.5983423E7</v>
      </c>
      <c r="B20" s="5" t="s">
        <v>132</v>
      </c>
      <c r="C20" s="5" t="s">
        <v>133</v>
      </c>
      <c r="D20" s="7">
        <v>6260.0</v>
      </c>
      <c r="E20" s="8">
        <v>555.0</v>
      </c>
      <c r="F20" s="8">
        <f t="shared" si="1"/>
        <v>5705</v>
      </c>
      <c r="G20" s="16">
        <f t="shared" si="2"/>
        <v>0.08865814696</v>
      </c>
      <c r="H20" s="8">
        <v>491.0</v>
      </c>
      <c r="I20" s="8">
        <v>555.0</v>
      </c>
      <c r="J20" s="8">
        <v>0.0</v>
      </c>
      <c r="K20" s="8">
        <v>0.0</v>
      </c>
      <c r="L20" s="13">
        <v>1.0</v>
      </c>
    </row>
    <row r="21" ht="22.5" customHeight="1">
      <c r="A21" s="4">
        <v>4.1803058E7</v>
      </c>
      <c r="B21" s="5" t="s">
        <v>136</v>
      </c>
      <c r="C21" s="5" t="s">
        <v>137</v>
      </c>
      <c r="D21" s="8">
        <v>0.0</v>
      </c>
      <c r="E21" s="8">
        <v>477.0</v>
      </c>
      <c r="F21" s="7">
        <v>0.0</v>
      </c>
      <c r="G21" s="16"/>
      <c r="H21" s="8">
        <v>349.0</v>
      </c>
      <c r="I21" s="8">
        <v>477.0</v>
      </c>
      <c r="J21" s="8">
        <v>0.0</v>
      </c>
      <c r="K21" s="8">
        <v>0.0</v>
      </c>
      <c r="L21" s="13">
        <v>1.0</v>
      </c>
    </row>
    <row r="22" ht="22.5" customHeight="1">
      <c r="A22" s="4">
        <v>2.172709E7</v>
      </c>
      <c r="B22" s="5" t="s">
        <v>142</v>
      </c>
      <c r="C22" s="5" t="s">
        <v>143</v>
      </c>
      <c r="D22" s="8">
        <v>0.0</v>
      </c>
      <c r="E22" s="8">
        <v>472.0</v>
      </c>
      <c r="F22" s="7">
        <v>0.0</v>
      </c>
      <c r="G22" s="16"/>
      <c r="H22" s="8">
        <v>439.0</v>
      </c>
      <c r="I22" s="8">
        <v>470.0</v>
      </c>
      <c r="J22" s="8">
        <v>2.0</v>
      </c>
      <c r="K22" s="8">
        <v>2.0</v>
      </c>
      <c r="L22" s="13">
        <v>1.0</v>
      </c>
    </row>
    <row r="23" ht="22.5" customHeight="1">
      <c r="A23" s="4">
        <v>4.4096556E7</v>
      </c>
      <c r="B23" s="5" t="s">
        <v>147</v>
      </c>
      <c r="C23" s="5" t="s">
        <v>148</v>
      </c>
      <c r="D23" s="8">
        <v>0.0</v>
      </c>
      <c r="E23" s="8">
        <v>449.0</v>
      </c>
      <c r="F23" s="7">
        <v>0.0</v>
      </c>
      <c r="G23" s="16"/>
      <c r="H23" s="8">
        <v>341.0</v>
      </c>
      <c r="I23" s="8">
        <v>449.0</v>
      </c>
      <c r="J23" s="8">
        <v>0.0</v>
      </c>
      <c r="K23" s="8">
        <v>0.0</v>
      </c>
      <c r="L23" s="13">
        <v>1.0</v>
      </c>
    </row>
    <row r="24" ht="22.5" customHeight="1">
      <c r="A24" s="4">
        <v>4.0347097E7</v>
      </c>
      <c r="B24" s="5" t="s">
        <v>150</v>
      </c>
      <c r="C24" s="5" t="s">
        <v>151</v>
      </c>
      <c r="D24" s="7">
        <v>406.0</v>
      </c>
      <c r="E24" s="8">
        <v>406.0</v>
      </c>
      <c r="F24" s="8">
        <f t="shared" ref="F24:F40" si="3"> MINUS(D24,E24)</f>
        <v>0</v>
      </c>
      <c r="G24" s="16">
        <f t="shared" ref="G24:G40" si="4">E24/D24</f>
        <v>1</v>
      </c>
      <c r="H24" s="8">
        <v>0.0</v>
      </c>
      <c r="I24" s="8">
        <v>406.0</v>
      </c>
      <c r="J24" s="8">
        <v>0.0</v>
      </c>
      <c r="K24" s="8">
        <v>0.0</v>
      </c>
      <c r="L24" s="13">
        <v>1.0</v>
      </c>
    </row>
    <row r="25" ht="22.5" customHeight="1">
      <c r="A25" s="4">
        <v>2223490.0</v>
      </c>
      <c r="B25" s="5" t="s">
        <v>156</v>
      </c>
      <c r="C25" s="5" t="s">
        <v>157</v>
      </c>
      <c r="D25" s="7">
        <v>7788.0</v>
      </c>
      <c r="E25" s="8">
        <v>381.0</v>
      </c>
      <c r="F25" s="8">
        <f t="shared" si="3"/>
        <v>7407</v>
      </c>
      <c r="G25" s="16">
        <f t="shared" si="4"/>
        <v>0.04892141757</v>
      </c>
      <c r="H25" s="8">
        <v>376.0</v>
      </c>
      <c r="I25" s="8">
        <v>381.0</v>
      </c>
      <c r="J25" s="8">
        <v>0.0</v>
      </c>
      <c r="K25" s="8">
        <v>0.0</v>
      </c>
      <c r="L25" s="13">
        <v>1.0</v>
      </c>
    </row>
    <row r="26" ht="22.5" customHeight="1">
      <c r="A26" s="4">
        <v>4.1364422E7</v>
      </c>
      <c r="B26" s="5" t="s">
        <v>162</v>
      </c>
      <c r="C26" s="5" t="s">
        <v>163</v>
      </c>
      <c r="D26" s="8">
        <v>1725.0</v>
      </c>
      <c r="E26" s="8">
        <v>356.0</v>
      </c>
      <c r="F26" s="8">
        <f t="shared" si="3"/>
        <v>1369</v>
      </c>
      <c r="G26" s="16">
        <f t="shared" si="4"/>
        <v>0.2063768116</v>
      </c>
      <c r="H26" s="8">
        <v>315.0</v>
      </c>
      <c r="I26" s="8">
        <v>331.0</v>
      </c>
      <c r="J26" s="8">
        <v>25.0</v>
      </c>
      <c r="K26" s="8">
        <v>25.0</v>
      </c>
      <c r="L26" s="13">
        <v>1.0</v>
      </c>
    </row>
    <row r="27" ht="22.5" customHeight="1">
      <c r="A27" s="4">
        <v>4.3561275E7</v>
      </c>
      <c r="B27" s="5" t="s">
        <v>164</v>
      </c>
      <c r="C27" s="17"/>
      <c r="D27" s="8">
        <v>26369.0</v>
      </c>
      <c r="E27" s="8">
        <v>336.0</v>
      </c>
      <c r="F27" s="8">
        <f t="shared" si="3"/>
        <v>26033</v>
      </c>
      <c r="G27" s="16">
        <f t="shared" si="4"/>
        <v>0.0127422352</v>
      </c>
      <c r="H27" s="8">
        <v>0.0</v>
      </c>
      <c r="I27" s="8">
        <v>336.0</v>
      </c>
      <c r="J27" s="8">
        <v>0.0</v>
      </c>
      <c r="K27" s="8">
        <v>0.0</v>
      </c>
      <c r="L27" s="13">
        <v>1.0</v>
      </c>
    </row>
    <row r="28" ht="22.5" customHeight="1">
      <c r="A28" s="4">
        <v>3.7179696E7</v>
      </c>
      <c r="B28" s="5" t="s">
        <v>169</v>
      </c>
      <c r="C28" s="5" t="s">
        <v>170</v>
      </c>
      <c r="D28" s="7">
        <v>1039.0</v>
      </c>
      <c r="E28" s="8">
        <v>310.0</v>
      </c>
      <c r="F28" s="8">
        <f t="shared" si="3"/>
        <v>729</v>
      </c>
      <c r="G28" s="16">
        <f t="shared" si="4"/>
        <v>0.2983638114</v>
      </c>
      <c r="H28" s="8">
        <v>310.0</v>
      </c>
      <c r="I28" s="8">
        <v>310.0</v>
      </c>
      <c r="J28" s="8">
        <v>0.0</v>
      </c>
      <c r="K28" s="8">
        <v>0.0</v>
      </c>
      <c r="L28" s="13">
        <v>1.0</v>
      </c>
    </row>
    <row r="29" ht="22.5" customHeight="1">
      <c r="A29" s="4">
        <v>3.3170265E7</v>
      </c>
      <c r="B29" s="5" t="s">
        <v>173</v>
      </c>
      <c r="C29" s="5" t="s">
        <v>175</v>
      </c>
      <c r="D29" s="7">
        <v>4275.0</v>
      </c>
      <c r="E29" s="8">
        <v>269.0</v>
      </c>
      <c r="F29" s="8">
        <f t="shared" si="3"/>
        <v>4006</v>
      </c>
      <c r="G29" s="16">
        <f t="shared" si="4"/>
        <v>0.06292397661</v>
      </c>
      <c r="H29" s="8">
        <v>269.0</v>
      </c>
      <c r="I29" s="8">
        <v>269.0</v>
      </c>
      <c r="J29" s="8">
        <v>0.0</v>
      </c>
      <c r="K29" s="8">
        <v>0.0</v>
      </c>
      <c r="L29" s="13">
        <v>1.0</v>
      </c>
    </row>
    <row r="30" ht="22.5" customHeight="1">
      <c r="A30" s="4">
        <v>4.4518042E7</v>
      </c>
      <c r="B30" s="5" t="s">
        <v>177</v>
      </c>
      <c r="C30" s="5" t="s">
        <v>178</v>
      </c>
      <c r="D30" s="7">
        <v>2148.0</v>
      </c>
      <c r="E30" s="8">
        <v>239.0</v>
      </c>
      <c r="F30" s="8">
        <f t="shared" si="3"/>
        <v>1909</v>
      </c>
      <c r="G30" s="16">
        <f t="shared" si="4"/>
        <v>0.1112662942</v>
      </c>
      <c r="H30" s="8">
        <v>0.0</v>
      </c>
      <c r="I30" s="8">
        <v>239.0</v>
      </c>
      <c r="J30" s="8">
        <v>0.0</v>
      </c>
      <c r="K30" s="8">
        <v>0.0</v>
      </c>
      <c r="L30" s="13"/>
    </row>
    <row r="31" ht="22.5" customHeight="1">
      <c r="A31" s="4">
        <v>4.5178718E7</v>
      </c>
      <c r="B31" s="5" t="s">
        <v>181</v>
      </c>
      <c r="C31" s="5" t="s">
        <v>182</v>
      </c>
      <c r="D31" s="8">
        <v>1500.0</v>
      </c>
      <c r="E31" s="8">
        <v>191.0</v>
      </c>
      <c r="F31" s="8">
        <f t="shared" si="3"/>
        <v>1309</v>
      </c>
      <c r="G31" s="16">
        <f t="shared" si="4"/>
        <v>0.1273333333</v>
      </c>
      <c r="H31" s="8">
        <v>170.0</v>
      </c>
      <c r="I31" s="8">
        <v>191.0</v>
      </c>
      <c r="J31" s="8">
        <v>0.0</v>
      </c>
      <c r="K31" s="8">
        <v>0.0</v>
      </c>
      <c r="L31" s="13"/>
    </row>
    <row r="32" ht="22.5" customHeight="1">
      <c r="A32" s="4">
        <v>3.678848E7</v>
      </c>
      <c r="B32" s="5" t="s">
        <v>187</v>
      </c>
      <c r="C32" s="5" t="s">
        <v>188</v>
      </c>
      <c r="D32" s="8">
        <v>1669.0</v>
      </c>
      <c r="E32" s="8">
        <v>126.0</v>
      </c>
      <c r="F32" s="8">
        <f t="shared" si="3"/>
        <v>1543</v>
      </c>
      <c r="G32" s="16">
        <f t="shared" si="4"/>
        <v>0.07549430797</v>
      </c>
      <c r="H32" s="8">
        <v>65.0</v>
      </c>
      <c r="I32" s="8">
        <v>126.0</v>
      </c>
      <c r="J32" s="8">
        <v>0.0</v>
      </c>
      <c r="K32" s="8">
        <v>0.0</v>
      </c>
      <c r="L32" s="13"/>
    </row>
    <row r="33" ht="22.5" customHeight="1">
      <c r="A33" s="4">
        <v>3.9246182E7</v>
      </c>
      <c r="B33" s="5" t="s">
        <v>191</v>
      </c>
      <c r="C33" s="5" t="s">
        <v>192</v>
      </c>
      <c r="D33" s="7">
        <v>7646.0</v>
      </c>
      <c r="E33" s="8">
        <v>121.0</v>
      </c>
      <c r="F33" s="8">
        <f t="shared" si="3"/>
        <v>7525</v>
      </c>
      <c r="G33" s="16">
        <f t="shared" si="4"/>
        <v>0.01582526811</v>
      </c>
      <c r="H33" s="8">
        <v>0.0</v>
      </c>
      <c r="I33" s="8">
        <v>121.0</v>
      </c>
      <c r="J33" s="8">
        <v>0.0</v>
      </c>
      <c r="K33" s="8">
        <v>0.0</v>
      </c>
      <c r="L33" s="13">
        <v>1.0</v>
      </c>
    </row>
    <row r="34" ht="22.5" customHeight="1">
      <c r="A34" s="4">
        <v>3.9672445E7</v>
      </c>
      <c r="B34" s="5" t="s">
        <v>195</v>
      </c>
      <c r="C34" s="5" t="s">
        <v>196</v>
      </c>
      <c r="D34" s="7">
        <v>1463.0</v>
      </c>
      <c r="E34" s="8">
        <v>108.0</v>
      </c>
      <c r="F34" s="8">
        <f t="shared" si="3"/>
        <v>1355</v>
      </c>
      <c r="G34" s="16">
        <f t="shared" si="4"/>
        <v>0.07382091593</v>
      </c>
      <c r="H34" s="8">
        <v>59.0</v>
      </c>
      <c r="I34" s="8">
        <v>108.0</v>
      </c>
      <c r="J34" s="8">
        <v>0.0</v>
      </c>
      <c r="K34" s="8">
        <v>0.0</v>
      </c>
      <c r="L34" s="13">
        <v>1.0</v>
      </c>
    </row>
    <row r="35" ht="22.5" customHeight="1">
      <c r="A35" s="4">
        <v>3.9702846E7</v>
      </c>
      <c r="B35" s="5" t="s">
        <v>201</v>
      </c>
      <c r="C35" s="5" t="s">
        <v>202</v>
      </c>
      <c r="D35" s="7">
        <v>760.0</v>
      </c>
      <c r="E35" s="8">
        <v>86.0</v>
      </c>
      <c r="F35" s="8">
        <f t="shared" si="3"/>
        <v>674</v>
      </c>
      <c r="G35" s="16">
        <f t="shared" si="4"/>
        <v>0.1131578947</v>
      </c>
      <c r="H35" s="8">
        <v>84.0</v>
      </c>
      <c r="I35" s="8">
        <v>86.0</v>
      </c>
      <c r="J35" s="8">
        <v>0.0</v>
      </c>
      <c r="K35" s="8">
        <v>0.0</v>
      </c>
      <c r="L35" s="13">
        <v>1.0</v>
      </c>
    </row>
    <row r="36" ht="22.5" customHeight="1">
      <c r="A36" s="4">
        <v>4.340444E7</v>
      </c>
      <c r="B36" s="5" t="s">
        <v>206</v>
      </c>
      <c r="C36" s="5" t="s">
        <v>208</v>
      </c>
      <c r="D36" s="7">
        <v>194.0</v>
      </c>
      <c r="E36" s="8">
        <v>22.0</v>
      </c>
      <c r="F36" s="8">
        <f t="shared" si="3"/>
        <v>172</v>
      </c>
      <c r="G36" s="16">
        <f t="shared" si="4"/>
        <v>0.1134020619</v>
      </c>
      <c r="H36" s="8">
        <v>0.0</v>
      </c>
      <c r="I36" s="8">
        <v>22.0</v>
      </c>
      <c r="J36" s="8">
        <v>0.0</v>
      </c>
      <c r="K36" s="8">
        <v>0.0</v>
      </c>
      <c r="L36" s="13">
        <v>1.0</v>
      </c>
    </row>
    <row r="37" ht="22.5" customHeight="1">
      <c r="A37" s="4">
        <v>3.7516455E7</v>
      </c>
      <c r="B37" s="5" t="s">
        <v>211</v>
      </c>
      <c r="C37" s="5" t="s">
        <v>212</v>
      </c>
      <c r="D37" s="7">
        <v>2493.0</v>
      </c>
      <c r="E37" s="8">
        <v>6.0</v>
      </c>
      <c r="F37" s="8">
        <f t="shared" si="3"/>
        <v>2487</v>
      </c>
      <c r="G37" s="16">
        <f t="shared" si="4"/>
        <v>0.002406738869</v>
      </c>
      <c r="H37" s="8">
        <v>0.0</v>
      </c>
      <c r="I37" s="8">
        <v>6.0</v>
      </c>
      <c r="J37" s="8">
        <v>0.0</v>
      </c>
      <c r="K37" s="8">
        <v>0.0</v>
      </c>
      <c r="L37" s="13">
        <v>1.0</v>
      </c>
    </row>
    <row r="38" ht="22.5" customHeight="1">
      <c r="A38" s="4">
        <v>3.8597446E7</v>
      </c>
      <c r="B38" s="5" t="s">
        <v>219</v>
      </c>
      <c r="C38" s="5" t="s">
        <v>220</v>
      </c>
      <c r="D38" s="7">
        <v>1668.0</v>
      </c>
      <c r="E38" s="8">
        <v>2.0</v>
      </c>
      <c r="F38" s="8">
        <f t="shared" si="3"/>
        <v>1666</v>
      </c>
      <c r="G38" s="16">
        <f t="shared" si="4"/>
        <v>0.001199040767</v>
      </c>
      <c r="H38" s="8">
        <v>0.0</v>
      </c>
      <c r="I38" s="8">
        <v>2.0</v>
      </c>
      <c r="J38" s="8">
        <v>0.0</v>
      </c>
      <c r="K38" s="8">
        <v>0.0</v>
      </c>
      <c r="L38" s="13">
        <v>1.0</v>
      </c>
    </row>
    <row r="39" ht="22.5" customHeight="1">
      <c r="A39" s="4">
        <v>4.539693E7</v>
      </c>
      <c r="B39" s="5" t="s">
        <v>221</v>
      </c>
      <c r="C39" s="5" t="s">
        <v>222</v>
      </c>
      <c r="D39" s="8">
        <v>1481.0</v>
      </c>
      <c r="E39" s="8">
        <v>0.0</v>
      </c>
      <c r="F39" s="8">
        <f t="shared" si="3"/>
        <v>1481</v>
      </c>
      <c r="G39" s="16">
        <f t="shared" si="4"/>
        <v>0</v>
      </c>
      <c r="H39" s="8">
        <v>0.0</v>
      </c>
      <c r="I39" s="8">
        <v>0.0</v>
      </c>
      <c r="J39" s="8">
        <v>0.0</v>
      </c>
      <c r="K39" s="8">
        <v>0.0</v>
      </c>
      <c r="L39" s="13"/>
    </row>
    <row r="40" ht="22.5" customHeight="1">
      <c r="A40" s="4">
        <v>4.3414574E7</v>
      </c>
      <c r="B40" s="5" t="s">
        <v>227</v>
      </c>
      <c r="C40" s="5" t="s">
        <v>228</v>
      </c>
      <c r="D40" s="7">
        <v>953.0</v>
      </c>
      <c r="E40" s="8">
        <v>0.0</v>
      </c>
      <c r="F40" s="8">
        <f t="shared" si="3"/>
        <v>953</v>
      </c>
      <c r="G40" s="16">
        <f t="shared" si="4"/>
        <v>0</v>
      </c>
      <c r="H40" s="8">
        <v>0.0</v>
      </c>
      <c r="I40" s="8">
        <v>0.0</v>
      </c>
      <c r="J40" s="8">
        <v>0.0</v>
      </c>
      <c r="K40" s="8">
        <v>0.0</v>
      </c>
      <c r="L40" s="13">
        <v>1.0</v>
      </c>
    </row>
    <row r="41" ht="22.5" customHeight="1">
      <c r="A41" s="19" t="s">
        <v>123</v>
      </c>
      <c r="B41" s="20"/>
      <c r="C41" s="20"/>
      <c r="D41" s="21">
        <f t="shared" ref="D41:F41" si="5">SUM(D2:D40)</f>
        <v>279711</v>
      </c>
      <c r="E41" s="21">
        <f t="shared" si="5"/>
        <v>28023</v>
      </c>
      <c r="F41" s="21">
        <f t="shared" si="5"/>
        <v>253086</v>
      </c>
      <c r="G41" s="24">
        <f>MEDIAN(G2:G40)</f>
        <v>0.148991342</v>
      </c>
      <c r="H41" s="21">
        <f t="shared" ref="H41:L41" si="6">SUM(H2:H40)</f>
        <v>19809</v>
      </c>
      <c r="I41" s="21">
        <f t="shared" si="6"/>
        <v>27977</v>
      </c>
      <c r="J41" s="21">
        <f t="shared" si="6"/>
        <v>45</v>
      </c>
      <c r="K41" s="21">
        <f t="shared" si="6"/>
        <v>46</v>
      </c>
      <c r="L41" s="21">
        <f t="shared" si="6"/>
        <v>33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</sheetData>
  <dataValidations>
    <dataValidation type="custom" allowBlank="1" showDropDown="1" sqref="A2:A41 D2:K4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7.5"/>
    <col customWidth="1" min="3" max="3" width="17.0"/>
    <col customWidth="1" min="4" max="4" width="15.63"/>
    <col customWidth="1" min="5" max="5" width="15.13"/>
    <col customWidth="1" min="6" max="6" width="15.88"/>
    <col customWidth="1" min="7" max="7" width="17.88"/>
    <col customWidth="1" min="8" max="8" width="17.63"/>
    <col customWidth="1" min="9" max="9" width="15.75"/>
    <col customWidth="1" min="10" max="10" width="17.75"/>
    <col customWidth="1" min="11" max="11" width="15.75"/>
    <col customWidth="1" min="12" max="12" width="1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4">
        <v>2225246.0</v>
      </c>
      <c r="B2" s="5" t="s">
        <v>44</v>
      </c>
      <c r="C2" s="5" t="s">
        <v>46</v>
      </c>
      <c r="D2" s="7">
        <v>172610.0</v>
      </c>
      <c r="E2" s="8">
        <v>5042.0</v>
      </c>
      <c r="F2" s="8">
        <f t="shared" ref="F2:F22" si="1"> MINUS(D2,E2)</f>
        <v>167568</v>
      </c>
      <c r="G2" s="16">
        <f t="shared" ref="G2:G14" si="2">E2/D2</f>
        <v>0.02921035861</v>
      </c>
      <c r="H2" s="8">
        <v>3979.0</v>
      </c>
      <c r="I2" s="8">
        <v>4962.0</v>
      </c>
      <c r="J2" s="8">
        <v>79.0</v>
      </c>
      <c r="K2" s="8">
        <v>80.0</v>
      </c>
      <c r="L2" s="13">
        <v>1.0</v>
      </c>
    </row>
    <row r="3" ht="22.5" customHeight="1">
      <c r="A3" s="4">
        <v>4.4718355E7</v>
      </c>
      <c r="B3" s="5" t="s">
        <v>56</v>
      </c>
      <c r="C3" s="5" t="s">
        <v>57</v>
      </c>
      <c r="D3" s="7">
        <v>1174.0</v>
      </c>
      <c r="E3" s="8">
        <v>830.0</v>
      </c>
      <c r="F3" s="8">
        <f t="shared" si="1"/>
        <v>344</v>
      </c>
      <c r="G3" s="16">
        <f t="shared" si="2"/>
        <v>0.7069846678</v>
      </c>
      <c r="H3" s="8">
        <v>0.0</v>
      </c>
      <c r="I3" s="8">
        <v>830.0</v>
      </c>
      <c r="J3" s="8">
        <v>0.0</v>
      </c>
      <c r="K3" s="8">
        <v>0.0</v>
      </c>
      <c r="L3" s="13">
        <v>1.0</v>
      </c>
    </row>
    <row r="4" ht="22.5" customHeight="1">
      <c r="A4" s="4">
        <v>2.6277986E7</v>
      </c>
      <c r="B4" s="5" t="s">
        <v>70</v>
      </c>
      <c r="C4" s="5" t="s">
        <v>71</v>
      </c>
      <c r="D4" s="7">
        <v>1327.0</v>
      </c>
      <c r="E4" s="8">
        <v>405.0</v>
      </c>
      <c r="F4" s="8">
        <f t="shared" si="1"/>
        <v>922</v>
      </c>
      <c r="G4" s="16">
        <f t="shared" si="2"/>
        <v>0.3051996986</v>
      </c>
      <c r="H4" s="8">
        <v>401.0</v>
      </c>
      <c r="I4" s="8">
        <v>403.0</v>
      </c>
      <c r="J4" s="8">
        <v>2.0</v>
      </c>
      <c r="K4" s="8">
        <v>2.0</v>
      </c>
      <c r="L4" s="13">
        <v>1.0</v>
      </c>
    </row>
    <row r="5" ht="22.5" customHeight="1">
      <c r="A5" s="4">
        <v>2.3254281E7</v>
      </c>
      <c r="B5" s="5" t="s">
        <v>80</v>
      </c>
      <c r="C5" s="5" t="s">
        <v>82</v>
      </c>
      <c r="D5" s="7">
        <v>3061.0</v>
      </c>
      <c r="E5" s="8">
        <v>395.0</v>
      </c>
      <c r="F5" s="8">
        <f t="shared" si="1"/>
        <v>2666</v>
      </c>
      <c r="G5" s="16">
        <f t="shared" si="2"/>
        <v>0.1290427965</v>
      </c>
      <c r="H5" s="8">
        <v>318.0</v>
      </c>
      <c r="I5" s="8">
        <v>395.0</v>
      </c>
      <c r="J5" s="8">
        <v>0.0</v>
      </c>
      <c r="K5" s="8">
        <v>0.0</v>
      </c>
      <c r="L5" s="13">
        <v>1.0</v>
      </c>
    </row>
    <row r="6" ht="22.5" customHeight="1">
      <c r="A6" s="4">
        <v>3.6709325E7</v>
      </c>
      <c r="B6" s="5" t="s">
        <v>92</v>
      </c>
      <c r="C6" s="5" t="s">
        <v>93</v>
      </c>
      <c r="D6" s="7">
        <v>3045.0</v>
      </c>
      <c r="E6" s="8">
        <v>334.0</v>
      </c>
      <c r="F6" s="8">
        <f t="shared" si="1"/>
        <v>2711</v>
      </c>
      <c r="G6" s="16">
        <f t="shared" si="2"/>
        <v>0.1096880131</v>
      </c>
      <c r="H6" s="8">
        <v>137.0</v>
      </c>
      <c r="I6" s="8">
        <v>334.0</v>
      </c>
      <c r="J6" s="8">
        <v>0.0</v>
      </c>
      <c r="K6" s="8">
        <v>0.0</v>
      </c>
      <c r="L6" s="13">
        <v>1.0</v>
      </c>
    </row>
    <row r="7" ht="22.5" customHeight="1">
      <c r="A7" s="4">
        <v>2.1751288E7</v>
      </c>
      <c r="B7" s="5" t="s">
        <v>100</v>
      </c>
      <c r="C7" s="5" t="s">
        <v>101</v>
      </c>
      <c r="D7" s="7">
        <v>8594.0</v>
      </c>
      <c r="E7" s="8">
        <v>277.0</v>
      </c>
      <c r="F7" s="8">
        <f t="shared" si="1"/>
        <v>8317</v>
      </c>
      <c r="G7" s="16">
        <f t="shared" si="2"/>
        <v>0.03223178962</v>
      </c>
      <c r="H7" s="8">
        <v>267.0</v>
      </c>
      <c r="I7" s="8">
        <v>277.0</v>
      </c>
      <c r="J7" s="8">
        <v>0.0</v>
      </c>
      <c r="K7" s="8">
        <v>0.0</v>
      </c>
      <c r="L7" s="13">
        <v>1.0</v>
      </c>
    </row>
    <row r="8" ht="22.5" customHeight="1">
      <c r="A8" s="4">
        <v>2.012365E7</v>
      </c>
      <c r="B8" s="5" t="s">
        <v>109</v>
      </c>
      <c r="C8" s="5" t="s">
        <v>110</v>
      </c>
      <c r="D8" s="7">
        <v>19254.0</v>
      </c>
      <c r="E8" s="8">
        <v>210.0</v>
      </c>
      <c r="F8" s="8">
        <f t="shared" si="1"/>
        <v>19044</v>
      </c>
      <c r="G8" s="16">
        <f t="shared" si="2"/>
        <v>0.01090682456</v>
      </c>
      <c r="H8" s="8">
        <v>0.0</v>
      </c>
      <c r="I8" s="8">
        <v>210.0</v>
      </c>
      <c r="J8" s="8">
        <v>0.0</v>
      </c>
      <c r="K8" s="8">
        <v>0.0</v>
      </c>
      <c r="L8" s="13">
        <v>1.0</v>
      </c>
    </row>
    <row r="9" ht="22.5" customHeight="1">
      <c r="A9" s="4">
        <v>2.0123644E7</v>
      </c>
      <c r="B9" s="5" t="s">
        <v>119</v>
      </c>
      <c r="C9" s="5" t="s">
        <v>120</v>
      </c>
      <c r="D9" s="7">
        <v>4028.0</v>
      </c>
      <c r="E9" s="8">
        <v>194.0</v>
      </c>
      <c r="F9" s="8">
        <f t="shared" si="1"/>
        <v>3834</v>
      </c>
      <c r="G9" s="16">
        <f t="shared" si="2"/>
        <v>0.04816285998</v>
      </c>
      <c r="H9" s="8">
        <v>194.0</v>
      </c>
      <c r="I9" s="8">
        <v>194.0</v>
      </c>
      <c r="J9" s="8">
        <v>0.0</v>
      </c>
      <c r="K9" s="8">
        <v>0.0</v>
      </c>
      <c r="L9" s="13">
        <v>1.0</v>
      </c>
    </row>
    <row r="10" ht="22.5" customHeight="1">
      <c r="A10" s="4">
        <v>3.7522055E7</v>
      </c>
      <c r="B10" s="5" t="s">
        <v>126</v>
      </c>
      <c r="C10" s="5" t="s">
        <v>127</v>
      </c>
      <c r="D10" s="7">
        <v>35199.0</v>
      </c>
      <c r="E10" s="8">
        <v>163.0</v>
      </c>
      <c r="F10" s="8">
        <f t="shared" si="1"/>
        <v>35036</v>
      </c>
      <c r="G10" s="16">
        <f t="shared" si="2"/>
        <v>0.004630813375</v>
      </c>
      <c r="H10" s="8">
        <v>0.0</v>
      </c>
      <c r="I10" s="8">
        <v>163.0</v>
      </c>
      <c r="J10" s="8">
        <v>0.0</v>
      </c>
      <c r="K10" s="8">
        <v>0.0</v>
      </c>
      <c r="L10" s="13">
        <v>1.0</v>
      </c>
    </row>
    <row r="11" ht="22.5" customHeight="1">
      <c r="A11" s="4">
        <v>4.226911E7</v>
      </c>
      <c r="B11" s="5" t="s">
        <v>134</v>
      </c>
      <c r="C11" s="5" t="s">
        <v>135</v>
      </c>
      <c r="D11" s="7">
        <v>2402.0</v>
      </c>
      <c r="E11" s="8">
        <v>88.0</v>
      </c>
      <c r="F11" s="8">
        <f t="shared" si="1"/>
        <v>2314</v>
      </c>
      <c r="G11" s="16">
        <f t="shared" si="2"/>
        <v>0.03663613655</v>
      </c>
      <c r="H11" s="8">
        <v>87.0</v>
      </c>
      <c r="I11" s="8">
        <v>88.0</v>
      </c>
      <c r="J11" s="8">
        <v>0.0</v>
      </c>
      <c r="K11" s="8">
        <v>0.0</v>
      </c>
      <c r="L11" s="18"/>
    </row>
    <row r="12" ht="22.5" customHeight="1">
      <c r="A12" s="4">
        <v>3.6716882E7</v>
      </c>
      <c r="B12" s="5" t="s">
        <v>140</v>
      </c>
      <c r="C12" s="5" t="s">
        <v>141</v>
      </c>
      <c r="D12" s="7">
        <v>9112.0</v>
      </c>
      <c r="E12" s="8">
        <v>81.0</v>
      </c>
      <c r="F12" s="8">
        <f t="shared" si="1"/>
        <v>9031</v>
      </c>
      <c r="G12" s="16">
        <f t="shared" si="2"/>
        <v>0.008889376646</v>
      </c>
      <c r="H12" s="8">
        <v>80.0</v>
      </c>
      <c r="I12" s="8">
        <v>81.0</v>
      </c>
      <c r="J12" s="8">
        <v>0.0</v>
      </c>
      <c r="K12" s="8">
        <v>0.0</v>
      </c>
      <c r="L12" s="13">
        <v>1.0</v>
      </c>
    </row>
    <row r="13" ht="22.5" customHeight="1">
      <c r="A13" s="4">
        <v>3.6431643E7</v>
      </c>
      <c r="B13" s="5" t="s">
        <v>146</v>
      </c>
      <c r="C13" s="5" t="s">
        <v>149</v>
      </c>
      <c r="D13" s="7">
        <v>1492.0</v>
      </c>
      <c r="E13" s="8">
        <v>71.0</v>
      </c>
      <c r="F13" s="8">
        <f t="shared" si="1"/>
        <v>1421</v>
      </c>
      <c r="G13" s="16">
        <f t="shared" si="2"/>
        <v>0.04758713137</v>
      </c>
      <c r="H13" s="8">
        <v>70.0</v>
      </c>
      <c r="I13" s="8">
        <v>71.0</v>
      </c>
      <c r="J13" s="8">
        <v>0.0</v>
      </c>
      <c r="K13" s="8">
        <v>0.0</v>
      </c>
      <c r="L13" s="13">
        <v>1.0</v>
      </c>
    </row>
    <row r="14" ht="22.5" customHeight="1">
      <c r="A14" s="4">
        <v>1.3344468E7</v>
      </c>
      <c r="B14" s="5" t="s">
        <v>154</v>
      </c>
      <c r="C14" s="5" t="s">
        <v>155</v>
      </c>
      <c r="D14" s="7">
        <v>581.0</v>
      </c>
      <c r="E14" s="8">
        <v>35.0</v>
      </c>
      <c r="F14" s="8">
        <f t="shared" si="1"/>
        <v>546</v>
      </c>
      <c r="G14" s="16">
        <f t="shared" si="2"/>
        <v>0.06024096386</v>
      </c>
      <c r="H14" s="8">
        <v>25.0</v>
      </c>
      <c r="I14" s="8">
        <v>35.0</v>
      </c>
      <c r="J14" s="8">
        <v>0.0</v>
      </c>
      <c r="K14" s="8">
        <v>0.0</v>
      </c>
      <c r="L14" s="13">
        <v>1.0</v>
      </c>
    </row>
    <row r="15" ht="22.5" customHeight="1">
      <c r="A15" s="4">
        <v>1.3347923E7</v>
      </c>
      <c r="B15" s="5" t="s">
        <v>160</v>
      </c>
      <c r="C15" s="5" t="s">
        <v>161</v>
      </c>
      <c r="D15" s="8">
        <v>0.0</v>
      </c>
      <c r="E15" s="8">
        <v>0.0</v>
      </c>
      <c r="F15" s="8">
        <f t="shared" si="1"/>
        <v>0</v>
      </c>
      <c r="G15" s="16"/>
      <c r="H15" s="8">
        <v>0.0</v>
      </c>
      <c r="I15" s="8">
        <v>0.0</v>
      </c>
      <c r="J15" s="8">
        <v>0.0</v>
      </c>
      <c r="K15" s="8">
        <v>0.0</v>
      </c>
      <c r="L15" s="13">
        <v>1.0</v>
      </c>
    </row>
    <row r="16" ht="22.5" customHeight="1">
      <c r="A16" s="4">
        <v>4.3652092E7</v>
      </c>
      <c r="B16" s="5" t="s">
        <v>165</v>
      </c>
      <c r="C16" s="5" t="s">
        <v>166</v>
      </c>
      <c r="D16" s="8">
        <v>1869.0</v>
      </c>
      <c r="E16" s="8">
        <v>0.0</v>
      </c>
      <c r="F16" s="8">
        <f t="shared" si="1"/>
        <v>1869</v>
      </c>
      <c r="G16" s="16">
        <f t="shared" ref="G16:G22" si="3">E16/D16</f>
        <v>0</v>
      </c>
      <c r="H16" s="8">
        <v>0.0</v>
      </c>
      <c r="I16" s="8">
        <v>0.0</v>
      </c>
      <c r="J16" s="8">
        <v>0.0</v>
      </c>
      <c r="K16" s="8">
        <v>0.0</v>
      </c>
      <c r="L16" s="18"/>
    </row>
    <row r="17" ht="22.5" customHeight="1">
      <c r="A17" s="4">
        <v>3.6484234E7</v>
      </c>
      <c r="B17" s="5" t="s">
        <v>174</v>
      </c>
      <c r="C17" s="5" t="s">
        <v>176</v>
      </c>
      <c r="D17" s="7">
        <v>4618.0</v>
      </c>
      <c r="E17" s="8">
        <v>0.0</v>
      </c>
      <c r="F17" s="8">
        <f t="shared" si="1"/>
        <v>4618</v>
      </c>
      <c r="G17" s="16">
        <f t="shared" si="3"/>
        <v>0</v>
      </c>
      <c r="H17" s="8">
        <v>0.0</v>
      </c>
      <c r="I17" s="8">
        <v>0.0</v>
      </c>
      <c r="J17" s="8">
        <v>0.0</v>
      </c>
      <c r="K17" s="8">
        <v>0.0</v>
      </c>
      <c r="L17" s="13">
        <v>1.0</v>
      </c>
    </row>
    <row r="18" ht="22.5" customHeight="1">
      <c r="A18" s="4">
        <v>4.1799138E7</v>
      </c>
      <c r="B18" s="5" t="s">
        <v>183</v>
      </c>
      <c r="C18" s="5" t="s">
        <v>184</v>
      </c>
      <c r="D18" s="8">
        <v>598.0</v>
      </c>
      <c r="E18" s="8">
        <v>0.0</v>
      </c>
      <c r="F18" s="8">
        <f t="shared" si="1"/>
        <v>598</v>
      </c>
      <c r="G18" s="16">
        <f t="shared" si="3"/>
        <v>0</v>
      </c>
      <c r="H18" s="8">
        <v>0.0</v>
      </c>
      <c r="I18" s="8">
        <v>0.0</v>
      </c>
      <c r="J18" s="8">
        <v>0.0</v>
      </c>
      <c r="K18" s="8">
        <v>0.0</v>
      </c>
      <c r="L18" s="18"/>
    </row>
    <row r="19" ht="22.5" customHeight="1">
      <c r="A19" s="4">
        <v>3.6606804E7</v>
      </c>
      <c r="B19" s="5" t="s">
        <v>189</v>
      </c>
      <c r="C19" s="5" t="s">
        <v>190</v>
      </c>
      <c r="D19" s="7">
        <v>5042.0</v>
      </c>
      <c r="E19" s="8">
        <v>0.0</v>
      </c>
      <c r="F19" s="8">
        <f t="shared" si="1"/>
        <v>5042</v>
      </c>
      <c r="G19" s="16">
        <f t="shared" si="3"/>
        <v>0</v>
      </c>
      <c r="H19" s="8">
        <v>0.0</v>
      </c>
      <c r="I19" s="8">
        <v>0.0</v>
      </c>
      <c r="J19" s="8">
        <v>0.0</v>
      </c>
      <c r="K19" s="8">
        <v>0.0</v>
      </c>
      <c r="L19" s="13">
        <v>1.0</v>
      </c>
    </row>
    <row r="20" ht="22.5" customHeight="1">
      <c r="A20" s="4">
        <v>3.580138E7</v>
      </c>
      <c r="B20" s="5" t="s">
        <v>197</v>
      </c>
      <c r="C20" s="5" t="s">
        <v>199</v>
      </c>
      <c r="D20" s="7">
        <v>3061.0</v>
      </c>
      <c r="E20" s="8">
        <v>0.0</v>
      </c>
      <c r="F20" s="8">
        <f t="shared" si="1"/>
        <v>3061</v>
      </c>
      <c r="G20" s="16">
        <f t="shared" si="3"/>
        <v>0</v>
      </c>
      <c r="H20" s="8">
        <v>0.0</v>
      </c>
      <c r="I20" s="8">
        <v>0.0</v>
      </c>
      <c r="J20" s="8">
        <v>0.0</v>
      </c>
      <c r="K20" s="8">
        <v>0.0</v>
      </c>
      <c r="L20" s="18"/>
    </row>
    <row r="21" ht="22.5" customHeight="1">
      <c r="A21" s="4">
        <v>4.208399E7</v>
      </c>
      <c r="B21" s="5" t="s">
        <v>209</v>
      </c>
      <c r="C21" s="5" t="s">
        <v>210</v>
      </c>
      <c r="D21" s="7">
        <v>1400.0</v>
      </c>
      <c r="E21" s="8">
        <v>0.0</v>
      </c>
      <c r="F21" s="8">
        <f t="shared" si="1"/>
        <v>1400</v>
      </c>
      <c r="G21" s="16">
        <f t="shared" si="3"/>
        <v>0</v>
      </c>
      <c r="H21" s="8">
        <v>0.0</v>
      </c>
      <c r="I21" s="8">
        <v>0.0</v>
      </c>
      <c r="J21" s="8">
        <v>0.0</v>
      </c>
      <c r="K21" s="8">
        <v>0.0</v>
      </c>
      <c r="L21" s="13">
        <v>1.0</v>
      </c>
    </row>
    <row r="22" ht="22.5" customHeight="1">
      <c r="A22" s="4">
        <v>3.6028193E7</v>
      </c>
      <c r="B22" s="5" t="s">
        <v>216</v>
      </c>
      <c r="C22" s="5" t="s">
        <v>218</v>
      </c>
      <c r="D22" s="7">
        <v>1174.0</v>
      </c>
      <c r="E22" s="8">
        <v>0.0</v>
      </c>
      <c r="F22" s="8">
        <f t="shared" si="1"/>
        <v>1174</v>
      </c>
      <c r="G22" s="16">
        <f t="shared" si="3"/>
        <v>0</v>
      </c>
      <c r="H22" s="8">
        <v>0.0</v>
      </c>
      <c r="I22" s="8">
        <v>0.0</v>
      </c>
      <c r="J22" s="8">
        <v>0.0</v>
      </c>
      <c r="K22" s="8">
        <v>0.0</v>
      </c>
      <c r="L22" s="18"/>
    </row>
    <row r="23" ht="22.5" customHeight="1">
      <c r="A23" s="19" t="s">
        <v>123</v>
      </c>
      <c r="B23" s="20"/>
      <c r="C23" s="20"/>
      <c r="D23" s="21">
        <f t="shared" ref="D23:F23" si="4">SUM(D2:D22)</f>
        <v>279641</v>
      </c>
      <c r="E23" s="21">
        <f t="shared" si="4"/>
        <v>8125</v>
      </c>
      <c r="F23" s="21">
        <f t="shared" si="4"/>
        <v>271516</v>
      </c>
      <c r="G23" s="24">
        <f>MEDIAN(G2:G22)</f>
        <v>0.02005859158</v>
      </c>
      <c r="H23" s="21">
        <f t="shared" ref="H23:L23" si="5">SUM(H2:H22)</f>
        <v>5558</v>
      </c>
      <c r="I23" s="21">
        <f t="shared" si="5"/>
        <v>8043</v>
      </c>
      <c r="J23" s="21">
        <f t="shared" si="5"/>
        <v>81</v>
      </c>
      <c r="K23" s="21">
        <f t="shared" si="5"/>
        <v>82</v>
      </c>
      <c r="L23" s="21">
        <f t="shared" si="5"/>
        <v>16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</sheetData>
  <dataValidations>
    <dataValidation type="custom" allowBlank="1" showDropDown="1" sqref="A2:A23 D2:K2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8.0"/>
    <col customWidth="1" min="3" max="3" width="16.63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6.63"/>
    <col customWidth="1" min="9" max="9" width="15.75"/>
    <col customWidth="1" min="10" max="10" width="17.75"/>
    <col customWidth="1" min="11" max="11" width="15.75"/>
    <col customWidth="1" min="12" max="12" width="1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4">
        <v>3.652548E7</v>
      </c>
      <c r="B2" s="5" t="s">
        <v>12</v>
      </c>
      <c r="C2" s="5" t="s">
        <v>13</v>
      </c>
      <c r="D2" s="7">
        <v>3180.0</v>
      </c>
      <c r="E2" s="8">
        <v>2134.0</v>
      </c>
      <c r="F2" s="8">
        <f t="shared" ref="F2:F14" si="1"> MINUS(D2,E2)</f>
        <v>1046</v>
      </c>
      <c r="G2" s="8"/>
      <c r="H2" s="8">
        <v>0.0</v>
      </c>
      <c r="I2" s="8">
        <v>2134.0</v>
      </c>
      <c r="J2" s="8">
        <v>0.0</v>
      </c>
      <c r="K2" s="8">
        <v>0.0</v>
      </c>
      <c r="L2" s="13">
        <v>1.0</v>
      </c>
    </row>
    <row r="3" ht="22.5" customHeight="1">
      <c r="A3" s="4">
        <v>3.5527638E7</v>
      </c>
      <c r="B3" s="5" t="s">
        <v>16</v>
      </c>
      <c r="C3" s="5" t="s">
        <v>17</v>
      </c>
      <c r="D3" s="7">
        <v>53085.0</v>
      </c>
      <c r="E3" s="8">
        <v>1499.0</v>
      </c>
      <c r="F3" s="8">
        <f t="shared" si="1"/>
        <v>51586</v>
      </c>
      <c r="G3" s="8">
        <v>0.0</v>
      </c>
      <c r="H3" s="8">
        <v>1440.0</v>
      </c>
      <c r="I3" s="8">
        <v>1497.0</v>
      </c>
      <c r="J3" s="8">
        <v>1.0</v>
      </c>
      <c r="K3" s="8">
        <v>2.0</v>
      </c>
      <c r="L3" s="13">
        <v>1.0</v>
      </c>
    </row>
    <row r="4" ht="22.5" customHeight="1">
      <c r="A4" s="4">
        <v>3.6730116E7</v>
      </c>
      <c r="B4" s="5" t="s">
        <v>20</v>
      </c>
      <c r="C4" s="5" t="s">
        <v>21</v>
      </c>
      <c r="D4" s="7">
        <v>2002.0</v>
      </c>
      <c r="E4" s="8">
        <v>1073.0</v>
      </c>
      <c r="F4" s="8">
        <f t="shared" si="1"/>
        <v>929</v>
      </c>
      <c r="G4" s="8">
        <v>0.0</v>
      </c>
      <c r="H4" s="8">
        <v>1072.0</v>
      </c>
      <c r="I4" s="8">
        <v>1073.0</v>
      </c>
      <c r="J4" s="8">
        <v>0.0</v>
      </c>
      <c r="K4" s="8">
        <v>0.0</v>
      </c>
      <c r="L4" s="13">
        <v>1.0</v>
      </c>
    </row>
    <row r="5" ht="22.5" customHeight="1">
      <c r="A5" s="4">
        <v>3.6869831E7</v>
      </c>
      <c r="B5" s="5" t="s">
        <v>22</v>
      </c>
      <c r="C5" s="5" t="s">
        <v>23</v>
      </c>
      <c r="D5" s="7">
        <v>2038.0</v>
      </c>
      <c r="E5" s="8">
        <v>963.0</v>
      </c>
      <c r="F5" s="8">
        <f t="shared" si="1"/>
        <v>1075</v>
      </c>
      <c r="G5" s="8">
        <v>0.0</v>
      </c>
      <c r="H5" s="8">
        <v>941.0</v>
      </c>
      <c r="I5" s="8">
        <v>963.0</v>
      </c>
      <c r="J5" s="8">
        <v>0.0</v>
      </c>
      <c r="K5" s="8">
        <v>0.0</v>
      </c>
      <c r="L5" s="13">
        <v>1.0</v>
      </c>
    </row>
    <row r="6" ht="22.5" customHeight="1">
      <c r="A6" s="4">
        <v>3.665815E7</v>
      </c>
      <c r="B6" s="5" t="s">
        <v>28</v>
      </c>
      <c r="C6" s="5" t="s">
        <v>29</v>
      </c>
      <c r="D6" s="7">
        <v>5993.0</v>
      </c>
      <c r="E6" s="8">
        <v>451.0</v>
      </c>
      <c r="F6" s="8">
        <f t="shared" si="1"/>
        <v>5542</v>
      </c>
      <c r="G6" s="8">
        <v>0.0</v>
      </c>
      <c r="H6" s="8">
        <v>450.0</v>
      </c>
      <c r="I6" s="8">
        <v>451.0</v>
      </c>
      <c r="J6" s="8">
        <v>0.0</v>
      </c>
      <c r="K6" s="8">
        <v>0.0</v>
      </c>
      <c r="L6" s="13">
        <v>1.0</v>
      </c>
    </row>
    <row r="7" ht="22.5" customHeight="1">
      <c r="A7" s="4">
        <v>3.6893471E7</v>
      </c>
      <c r="B7" s="5" t="s">
        <v>34</v>
      </c>
      <c r="C7" s="5" t="s">
        <v>35</v>
      </c>
      <c r="D7" s="7">
        <v>2587.0</v>
      </c>
      <c r="E7" s="8">
        <v>226.0</v>
      </c>
      <c r="F7" s="8">
        <f t="shared" si="1"/>
        <v>2361</v>
      </c>
      <c r="G7" s="8">
        <v>0.0</v>
      </c>
      <c r="H7" s="8">
        <v>225.0</v>
      </c>
      <c r="I7" s="8">
        <v>226.0</v>
      </c>
      <c r="J7" s="8">
        <v>0.0</v>
      </c>
      <c r="K7" s="8">
        <v>0.0</v>
      </c>
      <c r="L7" s="13">
        <v>1.0</v>
      </c>
    </row>
    <row r="8" ht="22.5" customHeight="1">
      <c r="A8" s="4">
        <v>3.780798E7</v>
      </c>
      <c r="B8" s="5" t="s">
        <v>36</v>
      </c>
      <c r="C8" s="5" t="s">
        <v>37</v>
      </c>
      <c r="D8" s="7">
        <v>1803.0</v>
      </c>
      <c r="E8" s="8">
        <v>149.0</v>
      </c>
      <c r="F8" s="8">
        <f t="shared" si="1"/>
        <v>1654</v>
      </c>
      <c r="G8" s="8">
        <v>0.0</v>
      </c>
      <c r="H8" s="8">
        <v>14.0</v>
      </c>
      <c r="I8" s="8">
        <v>149.0</v>
      </c>
      <c r="J8" s="8">
        <v>0.0</v>
      </c>
      <c r="K8" s="8">
        <v>0.0</v>
      </c>
      <c r="L8" s="13">
        <v>1.0</v>
      </c>
    </row>
    <row r="9" ht="22.5" customHeight="1">
      <c r="A9" s="4">
        <v>2215992.0</v>
      </c>
      <c r="B9" s="5" t="s">
        <v>42</v>
      </c>
      <c r="C9" s="5" t="s">
        <v>43</v>
      </c>
      <c r="D9" s="7">
        <v>240270.0</v>
      </c>
      <c r="E9" s="8">
        <v>59.0</v>
      </c>
      <c r="F9" s="8">
        <f t="shared" si="1"/>
        <v>240211</v>
      </c>
      <c r="G9" s="8">
        <v>0.0</v>
      </c>
      <c r="H9" s="8">
        <v>3.0</v>
      </c>
      <c r="I9" s="8">
        <v>59.0</v>
      </c>
      <c r="J9" s="8">
        <v>0.0</v>
      </c>
      <c r="K9" s="8">
        <v>0.0</v>
      </c>
      <c r="L9" s="13">
        <v>1.0</v>
      </c>
    </row>
    <row r="10" ht="22.5" customHeight="1">
      <c r="A10" s="4">
        <v>3.8354917E7</v>
      </c>
      <c r="B10" s="5" t="s">
        <v>50</v>
      </c>
      <c r="C10" s="5" t="s">
        <v>51</v>
      </c>
      <c r="D10" s="7">
        <v>3970.0</v>
      </c>
      <c r="E10" s="8">
        <v>50.0</v>
      </c>
      <c r="F10" s="8">
        <f t="shared" si="1"/>
        <v>3920</v>
      </c>
      <c r="G10" s="8">
        <v>0.0</v>
      </c>
      <c r="H10" s="8">
        <v>50.0</v>
      </c>
      <c r="I10" s="8">
        <v>50.0</v>
      </c>
      <c r="J10" s="8">
        <v>0.0</v>
      </c>
      <c r="K10" s="8">
        <v>0.0</v>
      </c>
      <c r="L10" s="13">
        <v>1.0</v>
      </c>
    </row>
    <row r="11" ht="22.5" customHeight="1">
      <c r="A11" s="4">
        <v>3.6511524E7</v>
      </c>
      <c r="B11" s="5" t="s">
        <v>58</v>
      </c>
      <c r="C11" s="5" t="s">
        <v>59</v>
      </c>
      <c r="D11" s="7">
        <v>11435.0</v>
      </c>
      <c r="E11" s="8">
        <v>47.0</v>
      </c>
      <c r="F11" s="8">
        <f t="shared" si="1"/>
        <v>11388</v>
      </c>
      <c r="G11" s="8">
        <v>0.0</v>
      </c>
      <c r="H11" s="8">
        <v>47.0</v>
      </c>
      <c r="I11" s="8">
        <v>47.0</v>
      </c>
      <c r="J11" s="8">
        <v>0.0</v>
      </c>
      <c r="K11" s="8">
        <v>0.0</v>
      </c>
      <c r="L11" s="13">
        <v>1.0</v>
      </c>
    </row>
    <row r="12" ht="22.5" customHeight="1">
      <c r="A12" s="4">
        <v>4.2898404E7</v>
      </c>
      <c r="B12" s="5" t="s">
        <v>66</v>
      </c>
      <c r="C12" s="5" t="s">
        <v>68</v>
      </c>
      <c r="D12" s="7">
        <v>1248.0</v>
      </c>
      <c r="E12" s="8">
        <v>32.0</v>
      </c>
      <c r="F12" s="8">
        <f t="shared" si="1"/>
        <v>1216</v>
      </c>
      <c r="G12" s="8">
        <v>0.0</v>
      </c>
      <c r="H12" s="8">
        <v>32.0</v>
      </c>
      <c r="I12" s="8">
        <v>32.0</v>
      </c>
      <c r="J12" s="8">
        <v>0.0</v>
      </c>
      <c r="K12" s="8">
        <v>0.0</v>
      </c>
      <c r="L12" s="13">
        <v>1.0</v>
      </c>
    </row>
    <row r="13" ht="22.5" customHeight="1">
      <c r="A13" s="4">
        <v>2217229.0</v>
      </c>
      <c r="B13" s="5" t="s">
        <v>75</v>
      </c>
      <c r="C13" s="5" t="s">
        <v>77</v>
      </c>
      <c r="D13" s="7">
        <v>36980.0</v>
      </c>
      <c r="E13" s="8">
        <v>29.0</v>
      </c>
      <c r="F13" s="8">
        <f t="shared" si="1"/>
        <v>36951</v>
      </c>
      <c r="G13" s="8">
        <v>0.0</v>
      </c>
      <c r="H13" s="8">
        <v>0.0</v>
      </c>
      <c r="I13" s="8">
        <v>29.0</v>
      </c>
      <c r="J13" s="8">
        <v>0.0</v>
      </c>
      <c r="K13" s="8">
        <v>0.0</v>
      </c>
      <c r="L13" s="13">
        <v>1.0</v>
      </c>
    </row>
    <row r="14" ht="22.5" customHeight="1">
      <c r="A14" s="4">
        <v>3.6724495E7</v>
      </c>
      <c r="B14" s="5" t="s">
        <v>81</v>
      </c>
      <c r="C14" s="5" t="s">
        <v>83</v>
      </c>
      <c r="D14" s="7">
        <v>2680.0</v>
      </c>
      <c r="E14" s="8">
        <v>28.0</v>
      </c>
      <c r="F14" s="8">
        <f t="shared" si="1"/>
        <v>2652</v>
      </c>
      <c r="G14" s="8">
        <v>0.0</v>
      </c>
      <c r="H14" s="8">
        <v>26.0</v>
      </c>
      <c r="I14" s="8">
        <v>28.0</v>
      </c>
      <c r="J14" s="8">
        <v>0.0</v>
      </c>
      <c r="K14" s="8">
        <v>0.0</v>
      </c>
      <c r="L14" s="13">
        <v>1.0</v>
      </c>
    </row>
    <row r="15" ht="22.5" customHeight="1">
      <c r="A15" s="4">
        <v>3.6699595E7</v>
      </c>
      <c r="B15" s="5" t="s">
        <v>88</v>
      </c>
      <c r="C15" s="5" t="s">
        <v>90</v>
      </c>
      <c r="D15" s="8">
        <v>0.0</v>
      </c>
      <c r="E15" s="8">
        <v>28.0</v>
      </c>
      <c r="F15" s="8"/>
      <c r="G15" s="8">
        <v>0.0</v>
      </c>
      <c r="H15" s="8">
        <v>0.0</v>
      </c>
      <c r="I15" s="8">
        <v>28.0</v>
      </c>
      <c r="J15" s="8">
        <v>0.0</v>
      </c>
      <c r="K15" s="8">
        <v>0.0</v>
      </c>
      <c r="L15" s="13">
        <v>1.0</v>
      </c>
    </row>
    <row r="16" ht="22.5" customHeight="1">
      <c r="A16" s="4">
        <v>3.716003E7</v>
      </c>
      <c r="B16" s="5" t="s">
        <v>98</v>
      </c>
      <c r="C16" s="5" t="s">
        <v>99</v>
      </c>
      <c r="D16" s="7">
        <v>1248.0</v>
      </c>
      <c r="E16" s="8">
        <v>20.0</v>
      </c>
      <c r="F16" s="8">
        <f t="shared" ref="F16:F34" si="2"> MINUS(D16,E16)</f>
        <v>1228</v>
      </c>
      <c r="G16" s="8">
        <v>0.0</v>
      </c>
      <c r="H16" s="8">
        <v>14.0</v>
      </c>
      <c r="I16" s="8">
        <v>20.0</v>
      </c>
      <c r="J16" s="8">
        <v>0.0</v>
      </c>
      <c r="K16" s="8">
        <v>0.0</v>
      </c>
      <c r="L16" s="13">
        <v>1.0</v>
      </c>
    </row>
    <row r="17" ht="22.5" customHeight="1">
      <c r="A17" s="4">
        <v>2.5725709E7</v>
      </c>
      <c r="B17" s="5" t="s">
        <v>107</v>
      </c>
      <c r="C17" s="5" t="s">
        <v>108</v>
      </c>
      <c r="D17" s="7">
        <v>68982.0</v>
      </c>
      <c r="E17" s="8">
        <v>18.0</v>
      </c>
      <c r="F17" s="8">
        <f t="shared" si="2"/>
        <v>68964</v>
      </c>
      <c r="G17" s="8">
        <v>0.0</v>
      </c>
      <c r="H17" s="8">
        <v>12.0</v>
      </c>
      <c r="I17" s="8">
        <v>18.0</v>
      </c>
      <c r="J17" s="8">
        <v>0.0</v>
      </c>
      <c r="K17" s="8">
        <v>0.0</v>
      </c>
      <c r="L17" s="13">
        <v>1.0</v>
      </c>
    </row>
    <row r="18" ht="22.5" customHeight="1">
      <c r="A18" s="4">
        <v>2216201.0</v>
      </c>
      <c r="B18" s="5" t="s">
        <v>115</v>
      </c>
      <c r="C18" s="5" t="s">
        <v>117</v>
      </c>
      <c r="D18" s="7">
        <v>94122.0</v>
      </c>
      <c r="E18" s="8">
        <v>17.0</v>
      </c>
      <c r="F18" s="8">
        <f t="shared" si="2"/>
        <v>94105</v>
      </c>
      <c r="G18" s="8">
        <v>0.0</v>
      </c>
      <c r="H18" s="8">
        <v>14.0</v>
      </c>
      <c r="I18" s="8">
        <v>17.0</v>
      </c>
      <c r="J18" s="8">
        <v>0.0</v>
      </c>
      <c r="K18" s="8">
        <v>0.0</v>
      </c>
      <c r="L18" s="13">
        <v>1.0</v>
      </c>
    </row>
    <row r="19" ht="22.5" customHeight="1">
      <c r="A19" s="4">
        <v>3.6731006E7</v>
      </c>
      <c r="B19" s="5" t="s">
        <v>124</v>
      </c>
      <c r="C19" s="5" t="s">
        <v>125</v>
      </c>
      <c r="D19" s="7">
        <v>892.0</v>
      </c>
      <c r="E19" s="8">
        <v>16.0</v>
      </c>
      <c r="F19" s="8">
        <f t="shared" si="2"/>
        <v>876</v>
      </c>
      <c r="G19" s="8">
        <v>0.0</v>
      </c>
      <c r="H19" s="8">
        <v>3.0</v>
      </c>
      <c r="I19" s="8">
        <v>16.0</v>
      </c>
      <c r="J19" s="8">
        <v>0.0</v>
      </c>
      <c r="K19" s="8">
        <v>0.0</v>
      </c>
      <c r="L19" s="13">
        <v>1.0</v>
      </c>
    </row>
    <row r="20" ht="22.5" customHeight="1">
      <c r="A20" s="4">
        <v>4.1656024E7</v>
      </c>
      <c r="B20" s="5" t="s">
        <v>130</v>
      </c>
      <c r="C20" s="5" t="s">
        <v>131</v>
      </c>
      <c r="D20" s="7">
        <v>3037.0</v>
      </c>
      <c r="E20" s="8">
        <v>13.0</v>
      </c>
      <c r="F20" s="8">
        <f t="shared" si="2"/>
        <v>3024</v>
      </c>
      <c r="G20" s="8">
        <v>0.0</v>
      </c>
      <c r="H20" s="8">
        <v>0.0</v>
      </c>
      <c r="I20" s="8">
        <v>13.0</v>
      </c>
      <c r="J20" s="8">
        <v>0.0</v>
      </c>
      <c r="K20" s="8">
        <v>0.0</v>
      </c>
      <c r="L20" s="13">
        <v>1.0</v>
      </c>
    </row>
    <row r="21" ht="22.5" customHeight="1">
      <c r="A21" s="4">
        <v>3.0720542E7</v>
      </c>
      <c r="B21" s="5" t="s">
        <v>138</v>
      </c>
      <c r="C21" s="5" t="s">
        <v>139</v>
      </c>
      <c r="D21" s="7">
        <v>27632.0</v>
      </c>
      <c r="E21" s="8">
        <v>12.0</v>
      </c>
      <c r="F21" s="8">
        <f t="shared" si="2"/>
        <v>27620</v>
      </c>
      <c r="G21" s="8">
        <v>0.0</v>
      </c>
      <c r="H21" s="8">
        <v>0.0</v>
      </c>
      <c r="I21" s="8">
        <v>12.0</v>
      </c>
      <c r="J21" s="8">
        <v>0.0</v>
      </c>
      <c r="K21" s="8">
        <v>0.0</v>
      </c>
      <c r="L21" s="23">
        <v>1.0</v>
      </c>
    </row>
    <row r="22" ht="22.5" customHeight="1">
      <c r="A22" s="4">
        <v>3.6725352E7</v>
      </c>
      <c r="B22" s="5" t="s">
        <v>144</v>
      </c>
      <c r="C22" s="5" t="s">
        <v>145</v>
      </c>
      <c r="D22" s="7">
        <v>601.0</v>
      </c>
      <c r="E22" s="8">
        <v>12.0</v>
      </c>
      <c r="F22" s="8">
        <f t="shared" si="2"/>
        <v>589</v>
      </c>
      <c r="G22" s="8">
        <v>0.0</v>
      </c>
      <c r="H22" s="8">
        <v>0.0</v>
      </c>
      <c r="I22" s="8">
        <v>12.0</v>
      </c>
      <c r="J22" s="8">
        <v>0.0</v>
      </c>
      <c r="K22" s="8">
        <v>0.0</v>
      </c>
      <c r="L22" s="13">
        <v>1.0</v>
      </c>
    </row>
    <row r="23" ht="22.5" customHeight="1">
      <c r="A23" s="4">
        <v>3.8580668E7</v>
      </c>
      <c r="B23" s="5" t="s">
        <v>152</v>
      </c>
      <c r="C23" s="5" t="s">
        <v>153</v>
      </c>
      <c r="D23" s="7">
        <v>2839.0</v>
      </c>
      <c r="E23" s="8">
        <v>12.0</v>
      </c>
      <c r="F23" s="8">
        <f t="shared" si="2"/>
        <v>2827</v>
      </c>
      <c r="G23" s="8">
        <v>0.0</v>
      </c>
      <c r="H23" s="8">
        <v>12.0</v>
      </c>
      <c r="I23" s="8">
        <v>12.0</v>
      </c>
      <c r="J23" s="8">
        <v>0.0</v>
      </c>
      <c r="K23" s="8">
        <v>0.0</v>
      </c>
      <c r="L23" s="13">
        <v>1.0</v>
      </c>
    </row>
    <row r="24" ht="22.5" customHeight="1">
      <c r="A24" s="4">
        <v>3.783427E7</v>
      </c>
      <c r="B24" s="5" t="s">
        <v>158</v>
      </c>
      <c r="C24" s="5" t="s">
        <v>159</v>
      </c>
      <c r="D24" s="8">
        <v>1901.0</v>
      </c>
      <c r="E24" s="8">
        <v>11.0</v>
      </c>
      <c r="F24" s="8">
        <f t="shared" si="2"/>
        <v>1890</v>
      </c>
      <c r="G24" s="8">
        <v>0.58</v>
      </c>
      <c r="H24" s="8">
        <v>9.0</v>
      </c>
      <c r="I24" s="8">
        <v>11.0</v>
      </c>
      <c r="J24" s="8">
        <v>0.0</v>
      </c>
      <c r="K24" s="8">
        <v>0.0</v>
      </c>
      <c r="L24" s="13">
        <v>1.0</v>
      </c>
    </row>
    <row r="25" ht="22.5" customHeight="1">
      <c r="A25" s="4">
        <v>4.4067038E7</v>
      </c>
      <c r="B25" s="5" t="s">
        <v>167</v>
      </c>
      <c r="C25" s="5" t="s">
        <v>168</v>
      </c>
      <c r="D25" s="7">
        <v>1265.0</v>
      </c>
      <c r="E25" s="8">
        <v>11.0</v>
      </c>
      <c r="F25" s="8">
        <f t="shared" si="2"/>
        <v>1254</v>
      </c>
      <c r="G25" s="8">
        <v>0.0</v>
      </c>
      <c r="H25" s="8">
        <v>0.0</v>
      </c>
      <c r="I25" s="8">
        <v>11.0</v>
      </c>
      <c r="J25" s="8">
        <v>0.0</v>
      </c>
      <c r="K25" s="8">
        <v>0.0</v>
      </c>
      <c r="L25" s="13">
        <v>1.0</v>
      </c>
    </row>
    <row r="26" ht="22.5" customHeight="1">
      <c r="A26" s="4">
        <v>2.645915E7</v>
      </c>
      <c r="B26" s="5" t="s">
        <v>171</v>
      </c>
      <c r="C26" s="5" t="s">
        <v>172</v>
      </c>
      <c r="D26" s="7">
        <v>13243.0</v>
      </c>
      <c r="E26" s="8">
        <v>10.0</v>
      </c>
      <c r="F26" s="8">
        <f t="shared" si="2"/>
        <v>13233</v>
      </c>
      <c r="G26" s="8">
        <v>0.0</v>
      </c>
      <c r="H26" s="8">
        <v>0.0</v>
      </c>
      <c r="I26" s="8">
        <v>10.0</v>
      </c>
      <c r="J26" s="8">
        <v>0.0</v>
      </c>
      <c r="K26" s="8">
        <v>0.0</v>
      </c>
      <c r="L26" s="13">
        <v>1.0</v>
      </c>
    </row>
    <row r="27" ht="22.5" customHeight="1">
      <c r="A27" s="4">
        <v>3.6933964E7</v>
      </c>
      <c r="B27" s="5" t="s">
        <v>179</v>
      </c>
      <c r="C27" s="5" t="s">
        <v>180</v>
      </c>
      <c r="D27" s="7">
        <v>3274.0</v>
      </c>
      <c r="E27" s="8">
        <v>6.0</v>
      </c>
      <c r="F27" s="8">
        <f t="shared" si="2"/>
        <v>3268</v>
      </c>
      <c r="G27" s="8">
        <v>0.0</v>
      </c>
      <c r="H27" s="8">
        <v>3.0</v>
      </c>
      <c r="I27" s="8">
        <v>6.0</v>
      </c>
      <c r="J27" s="8">
        <v>0.0</v>
      </c>
      <c r="K27" s="8">
        <v>0.0</v>
      </c>
      <c r="L27" s="13">
        <v>1.0</v>
      </c>
    </row>
    <row r="28" ht="22.5" customHeight="1">
      <c r="A28" s="4">
        <v>3.7022577E7</v>
      </c>
      <c r="B28" s="5" t="s">
        <v>185</v>
      </c>
      <c r="C28" s="5" t="s">
        <v>186</v>
      </c>
      <c r="D28" s="7">
        <v>475.0</v>
      </c>
      <c r="E28" s="8">
        <v>6.0</v>
      </c>
      <c r="F28" s="8">
        <f t="shared" si="2"/>
        <v>469</v>
      </c>
      <c r="G28" s="8">
        <v>0.0</v>
      </c>
      <c r="H28" s="8">
        <v>4.0</v>
      </c>
      <c r="I28" s="8">
        <v>6.0</v>
      </c>
      <c r="J28" s="8">
        <v>0.0</v>
      </c>
      <c r="K28" s="8">
        <v>0.0</v>
      </c>
      <c r="L28" s="13">
        <v>1.0</v>
      </c>
    </row>
    <row r="29" ht="22.5" customHeight="1">
      <c r="A29" s="4">
        <v>2216000.0</v>
      </c>
      <c r="B29" s="5" t="s">
        <v>193</v>
      </c>
      <c r="C29" s="5" t="s">
        <v>194</v>
      </c>
      <c r="D29" s="7">
        <v>9128.0</v>
      </c>
      <c r="E29" s="8">
        <v>4.0</v>
      </c>
      <c r="F29" s="8">
        <f t="shared" si="2"/>
        <v>9124</v>
      </c>
      <c r="G29" s="8">
        <v>0.0</v>
      </c>
      <c r="H29" s="8">
        <v>0.0</v>
      </c>
      <c r="I29" s="8">
        <v>4.0</v>
      </c>
      <c r="J29" s="8">
        <v>0.0</v>
      </c>
      <c r="K29" s="8">
        <v>0.0</v>
      </c>
      <c r="L29" s="13">
        <v>1.0</v>
      </c>
    </row>
    <row r="30" ht="22.5" customHeight="1">
      <c r="A30" s="4">
        <v>3.6877821E7</v>
      </c>
      <c r="B30" s="5" t="s">
        <v>198</v>
      </c>
      <c r="C30" s="5" t="s">
        <v>200</v>
      </c>
      <c r="D30" s="7">
        <v>335.0</v>
      </c>
      <c r="E30" s="8">
        <v>0.0</v>
      </c>
      <c r="F30" s="8">
        <f t="shared" si="2"/>
        <v>335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  <c r="L30" s="13">
        <v>1.0</v>
      </c>
    </row>
    <row r="31" ht="22.5" customHeight="1">
      <c r="A31" s="4">
        <v>4.3551204E7</v>
      </c>
      <c r="B31" s="5" t="s">
        <v>205</v>
      </c>
      <c r="C31" s="5" t="s">
        <v>207</v>
      </c>
      <c r="D31" s="8">
        <v>1374.0</v>
      </c>
      <c r="E31" s="8">
        <v>0.0</v>
      </c>
      <c r="F31" s="8">
        <f t="shared" si="2"/>
        <v>1374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13">
        <v>1.0</v>
      </c>
    </row>
    <row r="32" ht="22.5" customHeight="1">
      <c r="A32" s="4">
        <v>3.6723177E7</v>
      </c>
      <c r="B32" s="5" t="s">
        <v>215</v>
      </c>
      <c r="C32" s="5" t="s">
        <v>217</v>
      </c>
      <c r="D32" s="7">
        <v>6905.0</v>
      </c>
      <c r="E32" s="8">
        <v>0.0</v>
      </c>
      <c r="F32" s="8">
        <f t="shared" si="2"/>
        <v>6905</v>
      </c>
      <c r="G32" s="8">
        <v>0.0</v>
      </c>
      <c r="H32" s="8">
        <v>0.0</v>
      </c>
      <c r="I32" s="8">
        <v>0.0</v>
      </c>
      <c r="J32" s="8">
        <v>0.0</v>
      </c>
      <c r="K32" s="8">
        <v>0.0</v>
      </c>
      <c r="L32" s="13">
        <v>1.0</v>
      </c>
    </row>
    <row r="33" ht="22.5" customHeight="1">
      <c r="A33" s="4">
        <v>4.4587802E7</v>
      </c>
      <c r="B33" s="5" t="s">
        <v>225</v>
      </c>
      <c r="C33" s="5" t="s">
        <v>226</v>
      </c>
      <c r="D33" s="8">
        <v>0.0</v>
      </c>
      <c r="E33" s="8">
        <v>0.0</v>
      </c>
      <c r="F33" s="8">
        <f t="shared" si="2"/>
        <v>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  <c r="L33" s="18"/>
    </row>
    <row r="34" ht="22.5" customHeight="1">
      <c r="A34" s="4">
        <v>4.5463094E7</v>
      </c>
      <c r="B34" s="5" t="s">
        <v>230</v>
      </c>
      <c r="C34" s="5" t="s">
        <v>217</v>
      </c>
      <c r="D34" s="8">
        <v>0.0</v>
      </c>
      <c r="E34" s="8">
        <v>0.0</v>
      </c>
      <c r="F34" s="8">
        <f t="shared" si="2"/>
        <v>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  <c r="L34" s="18"/>
    </row>
    <row r="35" ht="22.5" customHeight="1">
      <c r="A35" s="19" t="s">
        <v>123</v>
      </c>
      <c r="B35" s="20"/>
      <c r="C35" s="20"/>
      <c r="D35" s="21">
        <f t="shared" ref="D35:L35" si="3">SUM(D2:D34)</f>
        <v>604524</v>
      </c>
      <c r="E35" s="21">
        <f t="shared" si="3"/>
        <v>6936</v>
      </c>
      <c r="F35" s="21">
        <f t="shared" si="3"/>
        <v>597616</v>
      </c>
      <c r="G35" s="21">
        <f t="shared" si="3"/>
        <v>0.58</v>
      </c>
      <c r="H35" s="21">
        <f t="shared" si="3"/>
        <v>4371</v>
      </c>
      <c r="I35" s="21">
        <f t="shared" si="3"/>
        <v>6934</v>
      </c>
      <c r="J35" s="21">
        <f t="shared" si="3"/>
        <v>1</v>
      </c>
      <c r="K35" s="21">
        <f t="shared" si="3"/>
        <v>2</v>
      </c>
      <c r="L35" s="21">
        <f t="shared" si="3"/>
        <v>31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</sheetData>
  <dataValidations>
    <dataValidation type="custom" allowBlank="1" showDropDown="1" sqref="A2:A35 D2:K3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9.75"/>
    <col customWidth="1" min="3" max="3" width="18.63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7.5"/>
    <col customWidth="1" min="9" max="9" width="16.75"/>
    <col customWidth="1" min="10" max="10" width="17.75"/>
    <col customWidth="1" min="11" max="11" width="15.75"/>
    <col customWidth="1" min="12" max="12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6" t="s">
        <v>11</v>
      </c>
    </row>
    <row r="2" ht="22.5" customHeight="1">
      <c r="A2" s="9">
        <v>2.5605939E7</v>
      </c>
      <c r="B2" s="10" t="s">
        <v>14</v>
      </c>
      <c r="C2" s="10" t="s">
        <v>15</v>
      </c>
      <c r="D2" s="11">
        <v>9057.0</v>
      </c>
      <c r="E2" s="12">
        <v>1361.0</v>
      </c>
      <c r="F2" s="12">
        <v>0.0</v>
      </c>
      <c r="G2" s="12">
        <v>0.0</v>
      </c>
      <c r="H2" s="12">
        <v>653.0</v>
      </c>
      <c r="I2" s="12">
        <v>1361.0</v>
      </c>
      <c r="J2" s="12">
        <v>0.0</v>
      </c>
      <c r="K2" s="12">
        <v>0.0</v>
      </c>
      <c r="L2" s="14"/>
    </row>
    <row r="3" ht="22.5" customHeight="1">
      <c r="A3" s="9">
        <v>2.4822379E7</v>
      </c>
      <c r="B3" s="10" t="s">
        <v>18</v>
      </c>
      <c r="C3" s="10" t="s">
        <v>19</v>
      </c>
      <c r="D3" s="11">
        <v>19663.0</v>
      </c>
      <c r="E3" s="12">
        <v>966.0</v>
      </c>
      <c r="F3" s="12">
        <v>0.0</v>
      </c>
      <c r="G3" s="12">
        <v>0.0</v>
      </c>
      <c r="H3" s="12">
        <v>520.0</v>
      </c>
      <c r="I3" s="12">
        <v>963.0</v>
      </c>
      <c r="J3" s="12">
        <v>3.0</v>
      </c>
      <c r="K3" s="12">
        <v>3.0</v>
      </c>
      <c r="L3" s="15">
        <v>1.0</v>
      </c>
    </row>
    <row r="4" ht="22.5" customHeight="1">
      <c r="A4" s="9">
        <v>2.48031E7</v>
      </c>
      <c r="B4" s="10" t="s">
        <v>24</v>
      </c>
      <c r="C4" s="10" t="s">
        <v>25</v>
      </c>
      <c r="D4" s="11">
        <v>12974.0</v>
      </c>
      <c r="E4" s="12">
        <v>909.0</v>
      </c>
      <c r="F4" s="12">
        <v>0.0</v>
      </c>
      <c r="G4" s="12">
        <v>0.0</v>
      </c>
      <c r="H4" s="12">
        <v>865.0</v>
      </c>
      <c r="I4" s="12">
        <v>909.0</v>
      </c>
      <c r="J4" s="12">
        <v>0.0</v>
      </c>
      <c r="K4" s="12">
        <v>0.0</v>
      </c>
      <c r="L4" s="15">
        <v>1.0</v>
      </c>
    </row>
    <row r="5" ht="22.5" customHeight="1">
      <c r="A5" s="9">
        <v>2.4822362E7</v>
      </c>
      <c r="B5" s="10" t="s">
        <v>30</v>
      </c>
      <c r="C5" s="10" t="s">
        <v>31</v>
      </c>
      <c r="D5" s="11">
        <v>1823.0</v>
      </c>
      <c r="E5" s="12">
        <v>220.0</v>
      </c>
      <c r="F5" s="12">
        <v>0.0</v>
      </c>
      <c r="G5" s="12">
        <v>0.0</v>
      </c>
      <c r="H5" s="12">
        <v>148.0</v>
      </c>
      <c r="I5" s="12">
        <v>220.0</v>
      </c>
      <c r="J5" s="12">
        <v>0.0</v>
      </c>
      <c r="K5" s="12">
        <v>0.0</v>
      </c>
      <c r="L5" s="15">
        <v>1.0</v>
      </c>
    </row>
    <row r="6" ht="22.5" customHeight="1">
      <c r="A6" s="9">
        <v>2226257.0</v>
      </c>
      <c r="B6" s="10" t="s">
        <v>38</v>
      </c>
      <c r="C6" s="10" t="s">
        <v>39</v>
      </c>
      <c r="D6" s="12">
        <v>2697.0</v>
      </c>
      <c r="E6" s="12">
        <v>180.0</v>
      </c>
      <c r="F6" s="12">
        <v>2517.0</v>
      </c>
      <c r="G6" s="12">
        <v>6.67</v>
      </c>
      <c r="H6" s="12">
        <v>172.0</v>
      </c>
      <c r="I6" s="12">
        <v>180.0</v>
      </c>
      <c r="J6" s="12">
        <v>0.0</v>
      </c>
      <c r="K6" s="12">
        <v>0.0</v>
      </c>
      <c r="L6" s="15">
        <v>1.0</v>
      </c>
    </row>
    <row r="7" ht="22.5" customHeight="1">
      <c r="A7" s="9">
        <v>3.7803242E7</v>
      </c>
      <c r="B7" s="10" t="s">
        <v>45</v>
      </c>
      <c r="C7" s="10" t="s">
        <v>47</v>
      </c>
      <c r="D7" s="11">
        <v>28451.0</v>
      </c>
      <c r="E7" s="12">
        <v>121.0</v>
      </c>
      <c r="F7" s="12">
        <v>0.0</v>
      </c>
      <c r="G7" s="12">
        <v>0.0</v>
      </c>
      <c r="H7" s="12">
        <v>84.0</v>
      </c>
      <c r="I7" s="12">
        <v>121.0</v>
      </c>
      <c r="J7" s="12">
        <v>0.0</v>
      </c>
      <c r="K7" s="12">
        <v>0.0</v>
      </c>
      <c r="L7" s="15">
        <v>1.0</v>
      </c>
    </row>
    <row r="8" ht="22.5" customHeight="1">
      <c r="A8" s="4">
        <v>2.4453232E7</v>
      </c>
      <c r="B8" s="5" t="s">
        <v>52</v>
      </c>
      <c r="C8" s="5" t="s">
        <v>53</v>
      </c>
      <c r="D8" s="7">
        <v>17219.0</v>
      </c>
      <c r="E8" s="8">
        <v>121.0</v>
      </c>
      <c r="F8" s="8">
        <v>0.0</v>
      </c>
      <c r="G8" s="8">
        <v>0.0</v>
      </c>
      <c r="H8" s="8">
        <v>56.0</v>
      </c>
      <c r="I8" s="8">
        <v>121.0</v>
      </c>
      <c r="J8" s="8">
        <v>0.0</v>
      </c>
      <c r="K8" s="8">
        <v>0.0</v>
      </c>
      <c r="L8" s="13">
        <v>1.0</v>
      </c>
    </row>
    <row r="9" ht="22.5" customHeight="1">
      <c r="A9" s="4">
        <v>2.4808942E7</v>
      </c>
      <c r="B9" s="5" t="s">
        <v>60</v>
      </c>
      <c r="C9" s="5" t="s">
        <v>62</v>
      </c>
      <c r="D9" s="7">
        <v>9008.0</v>
      </c>
      <c r="E9" s="8">
        <v>85.0</v>
      </c>
      <c r="F9" s="8">
        <v>0.0</v>
      </c>
      <c r="G9" s="8">
        <v>0.0</v>
      </c>
      <c r="H9" s="8">
        <v>85.0</v>
      </c>
      <c r="I9" s="8">
        <v>85.0</v>
      </c>
      <c r="J9" s="8">
        <v>0.0</v>
      </c>
      <c r="K9" s="8">
        <v>0.0</v>
      </c>
      <c r="L9" s="13">
        <v>1.0</v>
      </c>
    </row>
    <row r="10" ht="22.5" customHeight="1">
      <c r="A10" s="4">
        <v>2226240.0</v>
      </c>
      <c r="B10" s="5" t="s">
        <v>67</v>
      </c>
      <c r="C10" s="5" t="s">
        <v>69</v>
      </c>
      <c r="D10" s="8">
        <v>6603.0</v>
      </c>
      <c r="E10" s="8">
        <v>72.0</v>
      </c>
      <c r="F10" s="8">
        <v>6531.0</v>
      </c>
      <c r="G10" s="8">
        <v>1.09</v>
      </c>
      <c r="H10" s="8">
        <v>15.0</v>
      </c>
      <c r="I10" s="8">
        <v>72.0</v>
      </c>
      <c r="J10" s="8">
        <v>0.0</v>
      </c>
      <c r="K10" s="8">
        <v>0.0</v>
      </c>
      <c r="L10" s="13">
        <v>1.0</v>
      </c>
    </row>
    <row r="11" ht="22.5" customHeight="1">
      <c r="A11" s="4">
        <v>3.6943129E7</v>
      </c>
      <c r="B11" s="5" t="s">
        <v>74</v>
      </c>
      <c r="C11" s="5" t="s">
        <v>76</v>
      </c>
      <c r="D11" s="7">
        <v>1516.0</v>
      </c>
      <c r="E11" s="8">
        <v>53.0</v>
      </c>
      <c r="F11" s="8">
        <v>0.0</v>
      </c>
      <c r="G11" s="8">
        <v>0.0</v>
      </c>
      <c r="H11" s="8">
        <v>53.0</v>
      </c>
      <c r="I11" s="8">
        <v>53.0</v>
      </c>
      <c r="J11" s="8">
        <v>0.0</v>
      </c>
      <c r="K11" s="8">
        <v>0.0</v>
      </c>
      <c r="L11" s="13">
        <v>1.0</v>
      </c>
    </row>
    <row r="12" ht="22.5" customHeight="1">
      <c r="A12" s="4">
        <v>3.6596299E7</v>
      </c>
      <c r="B12" s="5" t="s">
        <v>84</v>
      </c>
      <c r="C12" s="5" t="s">
        <v>85</v>
      </c>
      <c r="D12" s="8">
        <v>4995.0</v>
      </c>
      <c r="E12" s="8">
        <v>42.0</v>
      </c>
      <c r="F12" s="8">
        <v>4953.0</v>
      </c>
      <c r="G12" s="8">
        <v>0.84</v>
      </c>
      <c r="H12" s="8">
        <v>41.0</v>
      </c>
      <c r="I12" s="8">
        <v>42.0</v>
      </c>
      <c r="J12" s="8">
        <v>0.0</v>
      </c>
      <c r="K12" s="8">
        <v>0.0</v>
      </c>
      <c r="L12" s="13">
        <v>1.0</v>
      </c>
    </row>
    <row r="13" ht="22.5" customHeight="1">
      <c r="A13" s="4">
        <v>2215466.0</v>
      </c>
      <c r="B13" s="5" t="s">
        <v>94</v>
      </c>
      <c r="C13" s="5" t="s">
        <v>95</v>
      </c>
      <c r="D13" s="8">
        <v>4760.0</v>
      </c>
      <c r="E13" s="8">
        <v>17.0</v>
      </c>
      <c r="F13" s="8">
        <v>4743.0</v>
      </c>
      <c r="G13" s="8">
        <v>0.36</v>
      </c>
      <c r="H13" s="8">
        <v>4.0</v>
      </c>
      <c r="I13" s="8">
        <v>15.0</v>
      </c>
      <c r="J13" s="8">
        <v>2.0</v>
      </c>
      <c r="K13" s="8">
        <v>2.0</v>
      </c>
      <c r="L13" s="13">
        <v>1.0</v>
      </c>
    </row>
    <row r="14" ht="22.5" customHeight="1">
      <c r="A14" s="4">
        <v>4.4523549E7</v>
      </c>
      <c r="B14" s="5" t="s">
        <v>104</v>
      </c>
      <c r="C14" s="17"/>
      <c r="D14" s="7">
        <v>3210.0</v>
      </c>
      <c r="E14" s="8">
        <v>8.0</v>
      </c>
      <c r="F14" s="8">
        <v>0.0</v>
      </c>
      <c r="G14" s="8">
        <v>0.0</v>
      </c>
      <c r="H14" s="8">
        <v>8.0</v>
      </c>
      <c r="I14" s="8">
        <v>8.0</v>
      </c>
      <c r="J14" s="8">
        <v>0.0</v>
      </c>
      <c r="K14" s="8">
        <v>0.0</v>
      </c>
      <c r="L14" s="18"/>
    </row>
    <row r="15" ht="22.5" customHeight="1">
      <c r="A15" s="4">
        <v>2223543.0</v>
      </c>
      <c r="B15" s="5" t="s">
        <v>113</v>
      </c>
      <c r="C15" s="5" t="s">
        <v>114</v>
      </c>
      <c r="D15" s="8">
        <v>59704.0</v>
      </c>
      <c r="E15" s="8">
        <v>3.0</v>
      </c>
      <c r="F15" s="8">
        <v>59701.0</v>
      </c>
      <c r="G15" s="8">
        <v>0.01</v>
      </c>
      <c r="H15" s="8">
        <v>0.0</v>
      </c>
      <c r="I15" s="8">
        <v>3.0</v>
      </c>
      <c r="J15" s="8">
        <v>0.0</v>
      </c>
      <c r="K15" s="8">
        <v>0.0</v>
      </c>
      <c r="L15" s="13">
        <v>1.0</v>
      </c>
    </row>
    <row r="16" ht="22.5" customHeight="1">
      <c r="A16" s="19" t="s">
        <v>123</v>
      </c>
      <c r="B16" s="20"/>
      <c r="C16" s="20"/>
      <c r="D16" s="21">
        <f t="shared" ref="D16:L16" si="1">SUM(D2:D15)</f>
        <v>181680</v>
      </c>
      <c r="E16" s="21">
        <f t="shared" si="1"/>
        <v>4158</v>
      </c>
      <c r="F16" s="21">
        <f t="shared" si="1"/>
        <v>78445</v>
      </c>
      <c r="G16" s="21">
        <f t="shared" si="1"/>
        <v>8.97</v>
      </c>
      <c r="H16" s="21">
        <f t="shared" si="1"/>
        <v>2704</v>
      </c>
      <c r="I16" s="21">
        <f t="shared" si="1"/>
        <v>4153</v>
      </c>
      <c r="J16" s="21">
        <f t="shared" si="1"/>
        <v>5</v>
      </c>
      <c r="K16" s="21">
        <f t="shared" si="1"/>
        <v>5</v>
      </c>
      <c r="L16" s="21">
        <f t="shared" si="1"/>
        <v>12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</sheetData>
  <dataValidations>
    <dataValidation type="custom" allowBlank="1" showDropDown="1" sqref="A2:A16 D2:K1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1.13"/>
    <col customWidth="1" min="3" max="3" width="20.63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8.13"/>
    <col customWidth="1" min="9" max="9" width="16.5"/>
    <col customWidth="1" min="10" max="10" width="18.63"/>
    <col customWidth="1" min="11" max="11" width="15.75"/>
    <col customWidth="1" min="12" max="12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4">
        <v>4813361.0</v>
      </c>
      <c r="B2" s="5" t="s">
        <v>203</v>
      </c>
      <c r="C2" s="5" t="s">
        <v>204</v>
      </c>
      <c r="D2" s="7">
        <v>15834.0</v>
      </c>
      <c r="E2" s="8">
        <v>1400.0</v>
      </c>
      <c r="F2" s="8">
        <v>0.0</v>
      </c>
      <c r="G2" s="8">
        <v>0.0</v>
      </c>
      <c r="H2" s="8">
        <v>1226.0</v>
      </c>
      <c r="I2" s="8">
        <v>1400.0</v>
      </c>
      <c r="J2" s="8">
        <v>0.0</v>
      </c>
      <c r="K2" s="8">
        <v>0.0</v>
      </c>
      <c r="L2" s="13">
        <v>1.0</v>
      </c>
    </row>
    <row r="3" ht="22.5" customHeight="1">
      <c r="A3" s="4">
        <v>2.4699832E7</v>
      </c>
      <c r="B3" s="5" t="s">
        <v>213</v>
      </c>
      <c r="C3" s="5" t="s">
        <v>214</v>
      </c>
      <c r="D3" s="7">
        <v>2878.0</v>
      </c>
      <c r="E3" s="8">
        <v>462.0</v>
      </c>
      <c r="F3" s="8">
        <v>0.0</v>
      </c>
      <c r="G3" s="8">
        <v>0.0</v>
      </c>
      <c r="H3" s="8">
        <v>462.0</v>
      </c>
      <c r="I3" s="8">
        <v>462.0</v>
      </c>
      <c r="J3" s="8">
        <v>0.0</v>
      </c>
      <c r="K3" s="8">
        <v>0.0</v>
      </c>
      <c r="L3" s="13">
        <v>1.0</v>
      </c>
    </row>
    <row r="4" ht="22.5" customHeight="1">
      <c r="A4" s="4">
        <v>3.9245786E7</v>
      </c>
      <c r="B4" s="5" t="s">
        <v>223</v>
      </c>
      <c r="C4" s="5" t="s">
        <v>224</v>
      </c>
      <c r="D4" s="7">
        <v>8975.0</v>
      </c>
      <c r="E4" s="8">
        <v>0.0</v>
      </c>
      <c r="F4" s="8">
        <v>0.0</v>
      </c>
      <c r="G4" s="8">
        <v>0.0</v>
      </c>
      <c r="H4" s="8">
        <v>0.0</v>
      </c>
      <c r="I4" s="8">
        <v>0.0</v>
      </c>
      <c r="J4" s="8">
        <v>0.0</v>
      </c>
      <c r="K4" s="8">
        <v>0.0</v>
      </c>
      <c r="L4" s="13">
        <v>1.0</v>
      </c>
    </row>
    <row r="5" ht="22.5" customHeight="1">
      <c r="A5" s="4">
        <v>3.663459E7</v>
      </c>
      <c r="B5" s="5" t="s">
        <v>229</v>
      </c>
      <c r="C5" s="5" t="s">
        <v>231</v>
      </c>
      <c r="D5" s="7">
        <v>1556.0</v>
      </c>
      <c r="E5" s="8">
        <v>0.0</v>
      </c>
      <c r="F5" s="8">
        <v>0.0</v>
      </c>
      <c r="G5" s="8">
        <v>0.0</v>
      </c>
      <c r="H5" s="8">
        <v>0.0</v>
      </c>
      <c r="I5" s="8">
        <v>0.0</v>
      </c>
      <c r="J5" s="8">
        <v>0.0</v>
      </c>
      <c r="K5" s="8">
        <v>0.0</v>
      </c>
      <c r="L5" s="13">
        <v>1.0</v>
      </c>
    </row>
    <row r="6" ht="22.5" customHeight="1">
      <c r="A6" s="4">
        <v>3.6004497E7</v>
      </c>
      <c r="B6" s="5" t="s">
        <v>232</v>
      </c>
      <c r="C6" s="5" t="s">
        <v>233</v>
      </c>
      <c r="D6" s="7">
        <v>2013.0</v>
      </c>
      <c r="E6" s="8">
        <v>0.0</v>
      </c>
      <c r="F6" s="8">
        <v>0.0</v>
      </c>
      <c r="G6" s="8">
        <v>0.0</v>
      </c>
      <c r="H6" s="8">
        <v>0.0</v>
      </c>
      <c r="I6" s="8">
        <v>0.0</v>
      </c>
      <c r="J6" s="8">
        <v>0.0</v>
      </c>
      <c r="K6" s="8">
        <v>0.0</v>
      </c>
      <c r="L6" s="13">
        <v>1.0</v>
      </c>
    </row>
    <row r="7" ht="22.5" customHeight="1">
      <c r="A7" s="4">
        <v>2.040669E7</v>
      </c>
      <c r="B7" s="5" t="s">
        <v>234</v>
      </c>
      <c r="C7" s="5" t="s">
        <v>235</v>
      </c>
      <c r="D7" s="7">
        <v>0.0</v>
      </c>
      <c r="E7" s="8">
        <v>0.0</v>
      </c>
      <c r="F7" s="8">
        <v>0.0</v>
      </c>
      <c r="G7" s="8">
        <v>0.0</v>
      </c>
      <c r="H7" s="8">
        <v>0.0</v>
      </c>
      <c r="I7" s="8">
        <v>0.0</v>
      </c>
      <c r="J7" s="8">
        <v>0.0</v>
      </c>
      <c r="K7" s="8">
        <v>0.0</v>
      </c>
      <c r="L7" s="13">
        <v>1.0</v>
      </c>
    </row>
    <row r="8" ht="22.5" customHeight="1">
      <c r="A8" s="4">
        <v>3.9140744E7</v>
      </c>
      <c r="B8" s="5" t="s">
        <v>236</v>
      </c>
      <c r="C8" s="5" t="s">
        <v>237</v>
      </c>
      <c r="D8" s="7">
        <v>2150.0</v>
      </c>
      <c r="E8" s="8">
        <v>0.0</v>
      </c>
      <c r="F8" s="8">
        <v>0.0</v>
      </c>
      <c r="G8" s="8">
        <v>0.0</v>
      </c>
      <c r="H8" s="8">
        <v>0.0</v>
      </c>
      <c r="I8" s="8">
        <v>0.0</v>
      </c>
      <c r="J8" s="8">
        <v>0.0</v>
      </c>
      <c r="K8" s="8">
        <v>0.0</v>
      </c>
      <c r="L8" s="13">
        <v>1.0</v>
      </c>
    </row>
    <row r="9" ht="22.5" customHeight="1">
      <c r="A9" s="4">
        <v>2226278.0</v>
      </c>
      <c r="B9" s="5" t="s">
        <v>238</v>
      </c>
      <c r="C9" s="5" t="s">
        <v>239</v>
      </c>
      <c r="D9" s="7">
        <v>146530.0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13">
        <v>1.0</v>
      </c>
    </row>
    <row r="10" ht="22.5" customHeight="1">
      <c r="A10" s="4">
        <v>3360822.0</v>
      </c>
      <c r="B10" s="5" t="s">
        <v>240</v>
      </c>
      <c r="C10" s="5" t="s">
        <v>241</v>
      </c>
      <c r="D10" s="7">
        <v>2678.0</v>
      </c>
      <c r="E10" s="8">
        <v>0.0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13">
        <v>1.0</v>
      </c>
    </row>
    <row r="11" ht="22.5" customHeight="1">
      <c r="A11" s="4">
        <v>3.6269652E7</v>
      </c>
      <c r="B11" s="5" t="s">
        <v>248</v>
      </c>
      <c r="C11" s="5" t="s">
        <v>250</v>
      </c>
      <c r="D11" s="7">
        <v>1336.0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13">
        <v>1.0</v>
      </c>
    </row>
    <row r="12" ht="22.5" customHeight="1">
      <c r="A12" s="4">
        <v>3.6872708E7</v>
      </c>
      <c r="B12" s="5" t="s">
        <v>254</v>
      </c>
      <c r="C12" s="5" t="s">
        <v>255</v>
      </c>
      <c r="D12" s="7">
        <v>1654.0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13">
        <v>1.0</v>
      </c>
    </row>
    <row r="13" ht="22.5" customHeight="1">
      <c r="A13" s="4">
        <v>3.913874E7</v>
      </c>
      <c r="B13" s="5" t="s">
        <v>260</v>
      </c>
      <c r="C13" s="5" t="s">
        <v>261</v>
      </c>
      <c r="D13" s="7">
        <v>2797.0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13">
        <v>1.0</v>
      </c>
    </row>
    <row r="14" ht="22.5" customHeight="1">
      <c r="A14" s="4">
        <v>3.6490143E7</v>
      </c>
      <c r="B14" s="5" t="s">
        <v>267</v>
      </c>
      <c r="C14" s="5" t="s">
        <v>268</v>
      </c>
      <c r="D14" s="7">
        <v>2084.0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13">
        <v>1.0</v>
      </c>
    </row>
    <row r="15" ht="22.5" customHeight="1">
      <c r="A15" s="4">
        <v>2.5923622E7</v>
      </c>
      <c r="B15" s="5" t="s">
        <v>272</v>
      </c>
      <c r="C15" s="5" t="s">
        <v>274</v>
      </c>
      <c r="D15" s="7">
        <v>11578.0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13">
        <v>1.0</v>
      </c>
    </row>
    <row r="16" ht="22.5" customHeight="1">
      <c r="A16" s="4">
        <v>4.0988181E7</v>
      </c>
      <c r="B16" s="5" t="s">
        <v>281</v>
      </c>
      <c r="C16" s="5" t="s">
        <v>283</v>
      </c>
      <c r="D16" s="7">
        <v>707.0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13">
        <v>1.0</v>
      </c>
    </row>
    <row r="17" ht="22.5" customHeight="1">
      <c r="A17" s="4">
        <v>3.4066546E7</v>
      </c>
      <c r="B17" s="5" t="s">
        <v>291</v>
      </c>
      <c r="C17" s="5" t="s">
        <v>292</v>
      </c>
      <c r="D17" s="7">
        <v>4240.0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13">
        <v>1.0</v>
      </c>
    </row>
    <row r="18" ht="22.5" customHeight="1">
      <c r="A18" s="4">
        <v>3.4648968E7</v>
      </c>
      <c r="B18" s="5" t="s">
        <v>299</v>
      </c>
      <c r="C18" s="5" t="s">
        <v>300</v>
      </c>
      <c r="D18" s="7">
        <v>1642.0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13">
        <v>1.0</v>
      </c>
    </row>
    <row r="19" ht="22.5" customHeight="1">
      <c r="A19" s="4">
        <v>3.6428384E7</v>
      </c>
      <c r="B19" s="5" t="s">
        <v>307</v>
      </c>
      <c r="C19" s="5" t="s">
        <v>310</v>
      </c>
      <c r="D19" s="7">
        <v>1319.0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13">
        <v>1.0</v>
      </c>
    </row>
    <row r="20" ht="22.5" customHeight="1">
      <c r="A20" s="19" t="s">
        <v>123</v>
      </c>
      <c r="B20" s="20"/>
      <c r="C20" s="20"/>
      <c r="D20" s="21">
        <f t="shared" ref="D20:L20" si="1">SUM(D2:D19)</f>
        <v>209971</v>
      </c>
      <c r="E20" s="21">
        <f t="shared" si="1"/>
        <v>1862</v>
      </c>
      <c r="F20" s="21">
        <f t="shared" si="1"/>
        <v>0</v>
      </c>
      <c r="G20" s="21">
        <f t="shared" si="1"/>
        <v>0</v>
      </c>
      <c r="H20" s="21">
        <f t="shared" si="1"/>
        <v>1688</v>
      </c>
      <c r="I20" s="21">
        <f t="shared" si="1"/>
        <v>1862</v>
      </c>
      <c r="J20" s="21">
        <f t="shared" si="1"/>
        <v>0</v>
      </c>
      <c r="K20" s="21">
        <f t="shared" si="1"/>
        <v>0</v>
      </c>
      <c r="L20" s="21">
        <f t="shared" si="1"/>
        <v>18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</sheetData>
  <dataValidations>
    <dataValidation type="custom" allowBlank="1" showDropDown="1" sqref="A2:A20 D2:K2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88"/>
    <col customWidth="1" min="3" max="3" width="18.13"/>
    <col customWidth="1" min="4" max="4" width="18.75"/>
    <col customWidth="1" min="5" max="5" width="15.25"/>
    <col customWidth="1" min="6" max="6" width="18.13"/>
    <col customWidth="1" min="7" max="7" width="16.13"/>
    <col customWidth="1" min="8" max="8" width="17.88"/>
    <col customWidth="1" min="9" max="9" width="15.63"/>
    <col customWidth="1" min="10" max="10" width="16.5"/>
    <col customWidth="1" min="11" max="11" width="15.5"/>
    <col customWidth="1" min="12" max="12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5">
        <v>2226292.0</v>
      </c>
      <c r="B2" s="5" t="s">
        <v>242</v>
      </c>
      <c r="C2" s="5" t="s">
        <v>243</v>
      </c>
      <c r="D2" s="25">
        <v>18542.0</v>
      </c>
      <c r="E2" s="26">
        <v>260.0</v>
      </c>
      <c r="F2" s="25">
        <v>18282.0</v>
      </c>
      <c r="G2" s="26">
        <v>1.4</v>
      </c>
      <c r="H2" s="26">
        <v>226.0</v>
      </c>
      <c r="I2" s="26">
        <v>260.0</v>
      </c>
      <c r="J2" s="26">
        <v>0.0</v>
      </c>
      <c r="K2" s="26">
        <v>0.0</v>
      </c>
      <c r="L2" s="27">
        <v>1.0</v>
      </c>
    </row>
    <row r="3" ht="22.5" customHeight="1">
      <c r="A3" s="5">
        <v>2226286.0</v>
      </c>
      <c r="B3" s="5" t="s">
        <v>244</v>
      </c>
      <c r="C3" s="5" t="s">
        <v>245</v>
      </c>
      <c r="D3" s="26">
        <v>0.0</v>
      </c>
      <c r="E3" s="26">
        <v>30.0</v>
      </c>
      <c r="F3" s="26">
        <v>0.0</v>
      </c>
      <c r="G3" s="26">
        <v>0.0</v>
      </c>
      <c r="H3" s="26">
        <v>0.0</v>
      </c>
      <c r="I3" s="26">
        <v>30.0</v>
      </c>
      <c r="J3" s="26">
        <v>0.0</v>
      </c>
      <c r="K3" s="26">
        <v>0.0</v>
      </c>
      <c r="L3" s="27">
        <v>1.0</v>
      </c>
    </row>
    <row r="4" ht="22.5" customHeight="1">
      <c r="A4" s="5">
        <v>2.6463453E7</v>
      </c>
      <c r="B4" s="5" t="s">
        <v>246</v>
      </c>
      <c r="C4" s="5" t="s">
        <v>247</v>
      </c>
      <c r="D4" s="26">
        <v>0.0</v>
      </c>
      <c r="E4" s="26">
        <v>11.0</v>
      </c>
      <c r="F4" s="26">
        <v>0.0</v>
      </c>
      <c r="G4" s="26">
        <v>0.0</v>
      </c>
      <c r="H4" s="26">
        <v>0.0</v>
      </c>
      <c r="I4" s="26">
        <v>11.0</v>
      </c>
      <c r="J4" s="26">
        <v>0.0</v>
      </c>
      <c r="K4" s="26">
        <v>0.0</v>
      </c>
      <c r="L4" s="27">
        <v>1.0</v>
      </c>
    </row>
    <row r="5" ht="22.5" customHeight="1">
      <c r="A5" s="19" t="s">
        <v>123</v>
      </c>
      <c r="B5" s="20"/>
      <c r="C5" s="20"/>
      <c r="D5" s="29">
        <f t="shared" ref="D5:L5" si="1">SUM(D2:D4)</f>
        <v>18542</v>
      </c>
      <c r="E5" s="20">
        <f t="shared" si="1"/>
        <v>301</v>
      </c>
      <c r="F5" s="29">
        <f t="shared" si="1"/>
        <v>18282</v>
      </c>
      <c r="G5" s="20">
        <f t="shared" si="1"/>
        <v>1.4</v>
      </c>
      <c r="H5" s="20">
        <f t="shared" si="1"/>
        <v>226</v>
      </c>
      <c r="I5" s="20">
        <f t="shared" si="1"/>
        <v>301</v>
      </c>
      <c r="J5" s="20">
        <f t="shared" si="1"/>
        <v>0</v>
      </c>
      <c r="K5" s="20">
        <f t="shared" si="1"/>
        <v>0</v>
      </c>
      <c r="L5" s="20">
        <f t="shared" si="1"/>
        <v>3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63"/>
    <col customWidth="1" min="3" max="3" width="20.13"/>
    <col customWidth="1" min="4" max="4" width="16.25"/>
    <col customWidth="1" min="5" max="5" width="14.5"/>
    <col customWidth="1" min="6" max="6" width="14.75"/>
    <col customWidth="1" min="7" max="7" width="15.25"/>
    <col customWidth="1" min="8" max="8" width="18.88"/>
    <col customWidth="1" min="9" max="9" width="19.88"/>
    <col customWidth="1" min="10" max="10" width="17.38"/>
    <col customWidth="1" min="11" max="11" width="16.13"/>
    <col customWidth="1" min="12" max="12" width="1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5">
        <v>4.1847689E7</v>
      </c>
      <c r="B2" s="5" t="s">
        <v>249</v>
      </c>
      <c r="C2" s="5" t="s">
        <v>251</v>
      </c>
      <c r="D2" s="28">
        <v>6072.0</v>
      </c>
      <c r="E2" s="25">
        <v>4255.0</v>
      </c>
      <c r="F2" s="26">
        <v>0.0</v>
      </c>
      <c r="G2" s="26">
        <v>0.0</v>
      </c>
      <c r="H2" s="26">
        <v>213.0</v>
      </c>
      <c r="I2" s="25">
        <v>4255.0</v>
      </c>
      <c r="J2" s="26">
        <v>0.0</v>
      </c>
      <c r="K2" s="26">
        <v>0.0</v>
      </c>
      <c r="L2" s="30"/>
    </row>
    <row r="3" ht="22.5" customHeight="1">
      <c r="A3" s="5">
        <v>2223572.0</v>
      </c>
      <c r="B3" s="5" t="s">
        <v>252</v>
      </c>
      <c r="C3" s="5" t="s">
        <v>253</v>
      </c>
      <c r="D3" s="26">
        <v>0.0</v>
      </c>
      <c r="E3" s="26">
        <v>581.0</v>
      </c>
      <c r="F3" s="26">
        <v>0.0</v>
      </c>
      <c r="G3" s="26">
        <v>0.0</v>
      </c>
      <c r="H3" s="26">
        <v>434.0</v>
      </c>
      <c r="I3" s="26">
        <v>488.0</v>
      </c>
      <c r="J3" s="26">
        <v>93.0</v>
      </c>
      <c r="K3" s="26">
        <v>93.0</v>
      </c>
      <c r="L3" s="27">
        <v>1.0</v>
      </c>
    </row>
    <row r="4" ht="22.5" customHeight="1">
      <c r="A4" s="5">
        <v>2223566.0</v>
      </c>
      <c r="B4" s="5" t="s">
        <v>256</v>
      </c>
      <c r="C4" s="5" t="s">
        <v>257</v>
      </c>
      <c r="D4" s="28">
        <v>114030.0</v>
      </c>
      <c r="E4" s="26">
        <v>455.0</v>
      </c>
      <c r="F4" s="26">
        <v>0.0</v>
      </c>
      <c r="G4" s="26">
        <v>0.0</v>
      </c>
      <c r="H4" s="26">
        <v>441.0</v>
      </c>
      <c r="I4" s="26">
        <v>455.0</v>
      </c>
      <c r="J4" s="26">
        <v>0.0</v>
      </c>
      <c r="K4" s="26">
        <v>0.0</v>
      </c>
      <c r="L4" s="27">
        <v>1.0</v>
      </c>
    </row>
    <row r="5" ht="22.5" customHeight="1">
      <c r="A5" s="5">
        <v>3.9079848E7</v>
      </c>
      <c r="B5" s="5" t="s">
        <v>258</v>
      </c>
      <c r="C5" s="5" t="s">
        <v>259</v>
      </c>
      <c r="D5" s="28">
        <v>1172.0</v>
      </c>
      <c r="E5" s="26">
        <v>6.0</v>
      </c>
      <c r="F5" s="26">
        <v>0.0</v>
      </c>
      <c r="G5" s="26">
        <v>0.0</v>
      </c>
      <c r="H5" s="26">
        <v>5.0</v>
      </c>
      <c r="I5" s="26">
        <v>6.0</v>
      </c>
      <c r="J5" s="26">
        <v>0.0</v>
      </c>
      <c r="K5" s="26">
        <v>0.0</v>
      </c>
      <c r="L5" s="27">
        <v>1.0</v>
      </c>
    </row>
    <row r="6" ht="22.5" customHeight="1">
      <c r="A6" s="5">
        <v>2223603.0</v>
      </c>
      <c r="B6" s="5" t="s">
        <v>262</v>
      </c>
      <c r="C6" s="5" t="s">
        <v>263</v>
      </c>
      <c r="D6" s="28">
        <v>16334.0</v>
      </c>
      <c r="E6" s="26">
        <v>0.0</v>
      </c>
      <c r="F6" s="26">
        <v>0.0</v>
      </c>
      <c r="G6" s="26">
        <v>0.0</v>
      </c>
      <c r="H6" s="26">
        <v>0.0</v>
      </c>
      <c r="I6" s="26">
        <v>0.0</v>
      </c>
      <c r="J6" s="26">
        <v>0.0</v>
      </c>
      <c r="K6" s="26">
        <v>0.0</v>
      </c>
      <c r="L6" s="27">
        <v>1.0</v>
      </c>
    </row>
    <row r="7" ht="22.5" customHeight="1">
      <c r="A7" s="5">
        <v>3.6508252E7</v>
      </c>
      <c r="B7" s="5" t="s">
        <v>266</v>
      </c>
      <c r="C7" s="17"/>
      <c r="D7" s="28">
        <v>1071.0</v>
      </c>
      <c r="E7" s="26">
        <v>0.0</v>
      </c>
      <c r="F7" s="26">
        <v>0.0</v>
      </c>
      <c r="G7" s="26">
        <v>0.0</v>
      </c>
      <c r="H7" s="26">
        <v>0.0</v>
      </c>
      <c r="I7" s="26">
        <v>0.0</v>
      </c>
      <c r="J7" s="26">
        <v>0.0</v>
      </c>
      <c r="K7" s="26">
        <v>0.0</v>
      </c>
      <c r="L7" s="27">
        <v>1.0</v>
      </c>
    </row>
    <row r="8" ht="22.5" customHeight="1">
      <c r="A8" s="31" t="s">
        <v>123</v>
      </c>
      <c r="B8" s="32"/>
      <c r="C8" s="32"/>
      <c r="D8" s="32">
        <f t="shared" ref="D8:L8" si="1">SUM(D2:D7)</f>
        <v>138679</v>
      </c>
      <c r="E8" s="33">
        <f t="shared" si="1"/>
        <v>5297</v>
      </c>
      <c r="F8" s="32">
        <f t="shared" si="1"/>
        <v>0</v>
      </c>
      <c r="G8" s="32">
        <f t="shared" si="1"/>
        <v>0</v>
      </c>
      <c r="H8" s="32">
        <f t="shared" si="1"/>
        <v>1093</v>
      </c>
      <c r="I8" s="33">
        <f t="shared" si="1"/>
        <v>5204</v>
      </c>
      <c r="J8" s="32">
        <f t="shared" si="1"/>
        <v>93</v>
      </c>
      <c r="K8" s="32">
        <f t="shared" si="1"/>
        <v>93</v>
      </c>
      <c r="L8" s="32">
        <f t="shared" si="1"/>
        <v>5</v>
      </c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1.0"/>
    <col customWidth="1" min="3" max="3" width="19.63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8.13"/>
    <col customWidth="1" min="9" max="9" width="15.75"/>
    <col customWidth="1" min="10" max="10" width="17.63"/>
    <col customWidth="1" min="11" max="11" width="15.75"/>
    <col customWidth="1" min="12" max="12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4">
        <v>2219323.0</v>
      </c>
      <c r="B2" s="5" t="s">
        <v>264</v>
      </c>
      <c r="C2" s="5" t="s">
        <v>265</v>
      </c>
      <c r="D2" s="7">
        <v>50015.0</v>
      </c>
      <c r="E2" s="8">
        <v>557.0</v>
      </c>
      <c r="F2" s="8">
        <v>0.0</v>
      </c>
      <c r="G2" s="8">
        <v>0.0</v>
      </c>
      <c r="H2" s="8">
        <v>213.0</v>
      </c>
      <c r="I2" s="8">
        <v>557.0</v>
      </c>
      <c r="J2" s="8">
        <v>0.0</v>
      </c>
      <c r="K2" s="8">
        <v>0.0</v>
      </c>
      <c r="L2" s="13">
        <v>1.0</v>
      </c>
    </row>
    <row r="3" ht="22.5" customHeight="1">
      <c r="A3" s="4">
        <v>5534151.0</v>
      </c>
      <c r="B3" s="5" t="s">
        <v>269</v>
      </c>
      <c r="C3" s="5" t="s">
        <v>270</v>
      </c>
      <c r="D3" s="7">
        <v>13386.0</v>
      </c>
      <c r="E3" s="8">
        <v>185.0</v>
      </c>
      <c r="F3" s="8">
        <v>0.0</v>
      </c>
      <c r="G3" s="8">
        <v>0.0</v>
      </c>
      <c r="H3" s="8">
        <v>154.0</v>
      </c>
      <c r="I3" s="8">
        <v>184.0</v>
      </c>
      <c r="J3" s="8">
        <v>0.0</v>
      </c>
      <c r="K3" s="8">
        <v>1.0</v>
      </c>
      <c r="L3" s="18"/>
    </row>
    <row r="4" ht="22.5" customHeight="1">
      <c r="A4" s="4">
        <v>2.3925835E7</v>
      </c>
      <c r="B4" s="5" t="s">
        <v>271</v>
      </c>
      <c r="C4" s="5" t="s">
        <v>273</v>
      </c>
      <c r="D4" s="7">
        <v>17500.0</v>
      </c>
      <c r="E4" s="8">
        <v>107.0</v>
      </c>
      <c r="F4" s="8">
        <v>0.0</v>
      </c>
      <c r="G4" s="8">
        <v>0.0</v>
      </c>
      <c r="H4" s="8">
        <v>27.0</v>
      </c>
      <c r="I4" s="8">
        <v>107.0</v>
      </c>
      <c r="J4" s="8">
        <v>0.0</v>
      </c>
      <c r="K4" s="8">
        <v>0.0</v>
      </c>
      <c r="L4" s="13">
        <v>1.0</v>
      </c>
    </row>
    <row r="5" ht="22.5" customHeight="1">
      <c r="A5" s="4">
        <v>2223626.0</v>
      </c>
      <c r="B5" s="5" t="s">
        <v>277</v>
      </c>
      <c r="C5" s="5" t="s">
        <v>279</v>
      </c>
      <c r="D5" s="7">
        <v>119067.0</v>
      </c>
      <c r="E5" s="8">
        <v>61.0</v>
      </c>
      <c r="F5" s="8">
        <v>0.0</v>
      </c>
      <c r="G5" s="8">
        <v>0.0</v>
      </c>
      <c r="H5" s="8">
        <v>49.0</v>
      </c>
      <c r="I5" s="8">
        <v>61.0</v>
      </c>
      <c r="J5" s="8">
        <v>0.0</v>
      </c>
      <c r="K5" s="8">
        <v>0.0</v>
      </c>
      <c r="L5" s="13">
        <v>1.0</v>
      </c>
    </row>
    <row r="6" ht="22.5" customHeight="1">
      <c r="A6" s="4">
        <v>3.9861767E7</v>
      </c>
      <c r="B6" s="5" t="s">
        <v>285</v>
      </c>
      <c r="C6" s="5" t="s">
        <v>286</v>
      </c>
      <c r="D6" s="7">
        <v>3611.0</v>
      </c>
      <c r="E6" s="8">
        <v>58.0</v>
      </c>
      <c r="F6" s="8">
        <v>0.0</v>
      </c>
      <c r="G6" s="8">
        <v>0.0</v>
      </c>
      <c r="H6" s="8">
        <v>0.0</v>
      </c>
      <c r="I6" s="8">
        <v>58.0</v>
      </c>
      <c r="J6" s="8">
        <v>0.0</v>
      </c>
      <c r="K6" s="8">
        <v>0.0</v>
      </c>
      <c r="L6" s="13">
        <v>1.0</v>
      </c>
    </row>
    <row r="7" ht="22.5" customHeight="1">
      <c r="A7" s="4">
        <v>2.0552227E7</v>
      </c>
      <c r="B7" s="5" t="s">
        <v>294</v>
      </c>
      <c r="C7" s="5" t="s">
        <v>296</v>
      </c>
      <c r="D7" s="7">
        <v>0.0</v>
      </c>
      <c r="E7" s="8">
        <v>2.0</v>
      </c>
      <c r="F7" s="8">
        <v>0.0</v>
      </c>
      <c r="G7" s="8">
        <v>0.0</v>
      </c>
      <c r="H7" s="8">
        <v>0.0</v>
      </c>
      <c r="I7" s="8">
        <v>1.0</v>
      </c>
      <c r="J7" s="8">
        <v>0.0</v>
      </c>
      <c r="K7" s="8">
        <v>1.0</v>
      </c>
      <c r="L7" s="13">
        <v>1.0</v>
      </c>
    </row>
    <row r="8" ht="22.5" customHeight="1">
      <c r="A8" s="4">
        <v>2.506727E7</v>
      </c>
      <c r="B8" s="5" t="s">
        <v>303</v>
      </c>
      <c r="C8" s="5" t="s">
        <v>304</v>
      </c>
      <c r="D8" s="7">
        <v>2992.0</v>
      </c>
      <c r="E8" s="8">
        <v>1.0</v>
      </c>
      <c r="F8" s="8">
        <v>0.0</v>
      </c>
      <c r="G8" s="8">
        <v>0.0</v>
      </c>
      <c r="H8" s="8">
        <v>0.0</v>
      </c>
      <c r="I8" s="8">
        <v>1.0</v>
      </c>
      <c r="J8" s="8">
        <v>0.0</v>
      </c>
      <c r="K8" s="8">
        <v>0.0</v>
      </c>
      <c r="L8" s="13">
        <v>1.0</v>
      </c>
    </row>
    <row r="9" ht="22.5" customHeight="1">
      <c r="A9" s="4">
        <v>2.5598168E7</v>
      </c>
      <c r="B9" s="5" t="s">
        <v>311</v>
      </c>
      <c r="C9" s="5" t="s">
        <v>312</v>
      </c>
      <c r="D9" s="7">
        <v>11225.0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13">
        <v>1.0</v>
      </c>
    </row>
    <row r="10" ht="22.5" customHeight="1">
      <c r="A10" s="31" t="s">
        <v>123</v>
      </c>
      <c r="B10" s="32"/>
      <c r="C10" s="32"/>
      <c r="D10" s="34">
        <f t="shared" ref="D10:L10" si="1">SUM(D2:D9)</f>
        <v>217796</v>
      </c>
      <c r="E10" s="34">
        <f t="shared" si="1"/>
        <v>971</v>
      </c>
      <c r="F10" s="34">
        <f t="shared" si="1"/>
        <v>0</v>
      </c>
      <c r="G10" s="34">
        <f t="shared" si="1"/>
        <v>0</v>
      </c>
      <c r="H10" s="34">
        <f t="shared" si="1"/>
        <v>443</v>
      </c>
      <c r="I10" s="34">
        <f t="shared" si="1"/>
        <v>969</v>
      </c>
      <c r="J10" s="34">
        <f t="shared" si="1"/>
        <v>0</v>
      </c>
      <c r="K10" s="34">
        <f t="shared" si="1"/>
        <v>2</v>
      </c>
      <c r="L10" s="34">
        <f t="shared" si="1"/>
        <v>7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</sheetData>
  <dataValidations>
    <dataValidation type="custom" allowBlank="1" showDropDown="1" sqref="A2:A10 D2:K1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3.13"/>
    <col customWidth="1" min="3" max="3" width="16.75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8.88"/>
    <col customWidth="1" min="9" max="9" width="15.75"/>
    <col customWidth="1" min="10" max="10" width="19.5"/>
    <col customWidth="1" min="11" max="11" width="15.75"/>
    <col customWidth="1" min="12" max="12" width="1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4">
        <v>3.4710407E7</v>
      </c>
      <c r="B2" s="5" t="s">
        <v>275</v>
      </c>
      <c r="C2" s="5" t="s">
        <v>276</v>
      </c>
      <c r="D2" s="8">
        <v>26053.0</v>
      </c>
      <c r="E2" s="8">
        <v>6466.0</v>
      </c>
      <c r="F2" s="8">
        <v>19587.0</v>
      </c>
      <c r="G2" s="8">
        <v>24.82</v>
      </c>
      <c r="H2" s="8">
        <v>6038.0</v>
      </c>
      <c r="I2" s="8">
        <v>6466.0</v>
      </c>
      <c r="J2" s="8">
        <v>0.0</v>
      </c>
      <c r="K2" s="8">
        <v>0.0</v>
      </c>
      <c r="L2" s="13">
        <v>1.0</v>
      </c>
    </row>
    <row r="3" ht="22.5" customHeight="1">
      <c r="A3" s="4">
        <v>2219369.0</v>
      </c>
      <c r="B3" s="5" t="s">
        <v>278</v>
      </c>
      <c r="C3" s="5" t="s">
        <v>280</v>
      </c>
      <c r="D3" s="8">
        <v>235424.0</v>
      </c>
      <c r="E3" s="8">
        <v>3449.0</v>
      </c>
      <c r="F3" s="8">
        <v>231975.0</v>
      </c>
      <c r="G3" s="8">
        <v>1.47</v>
      </c>
      <c r="H3" s="8">
        <v>242.0</v>
      </c>
      <c r="I3" s="8">
        <v>3449.0</v>
      </c>
      <c r="J3" s="8">
        <v>0.0</v>
      </c>
      <c r="K3" s="8">
        <v>0.0</v>
      </c>
      <c r="L3" s="13">
        <v>1.0</v>
      </c>
    </row>
    <row r="4" ht="22.5" customHeight="1">
      <c r="A4" s="4">
        <v>3.6172333E7</v>
      </c>
      <c r="B4" s="5" t="s">
        <v>282</v>
      </c>
      <c r="C4" s="5" t="s">
        <v>284</v>
      </c>
      <c r="D4" s="8">
        <v>1786.0</v>
      </c>
      <c r="E4" s="8">
        <v>1760.0</v>
      </c>
      <c r="F4" s="8">
        <v>26.0</v>
      </c>
      <c r="G4" s="8">
        <v>98.54</v>
      </c>
      <c r="H4" s="8">
        <v>1576.0</v>
      </c>
      <c r="I4" s="8">
        <v>1760.0</v>
      </c>
      <c r="J4" s="8">
        <v>0.0</v>
      </c>
      <c r="K4" s="8">
        <v>0.0</v>
      </c>
      <c r="L4" s="13">
        <v>1.0</v>
      </c>
    </row>
    <row r="5" ht="22.5" customHeight="1">
      <c r="A5" s="4">
        <v>2.4222107E7</v>
      </c>
      <c r="B5" s="5" t="s">
        <v>287</v>
      </c>
      <c r="C5" s="5" t="s">
        <v>288</v>
      </c>
      <c r="D5" s="7">
        <v>1484.0</v>
      </c>
      <c r="E5" s="8">
        <v>1503.0</v>
      </c>
      <c r="F5" s="8">
        <v>0.0</v>
      </c>
      <c r="G5" s="8">
        <v>0.0</v>
      </c>
      <c r="H5" s="8">
        <v>1491.0</v>
      </c>
      <c r="I5" s="8">
        <v>1503.0</v>
      </c>
      <c r="J5" s="8">
        <v>0.0</v>
      </c>
      <c r="K5" s="8">
        <v>0.0</v>
      </c>
      <c r="L5" s="13">
        <v>1.0</v>
      </c>
    </row>
    <row r="6" ht="22.5" customHeight="1">
      <c r="A6" s="4">
        <v>2224436.0</v>
      </c>
      <c r="B6" s="5" t="s">
        <v>289</v>
      </c>
      <c r="C6" s="5" t="s">
        <v>290</v>
      </c>
      <c r="D6" s="8">
        <v>94155.0</v>
      </c>
      <c r="E6" s="8">
        <v>778.0</v>
      </c>
      <c r="F6" s="8">
        <v>93377.0</v>
      </c>
      <c r="G6" s="8">
        <v>0.83</v>
      </c>
      <c r="H6" s="8">
        <v>778.0</v>
      </c>
      <c r="I6" s="8">
        <v>778.0</v>
      </c>
      <c r="J6" s="8">
        <v>0.0</v>
      </c>
      <c r="K6" s="8">
        <v>0.0</v>
      </c>
      <c r="L6" s="13">
        <v>1.0</v>
      </c>
    </row>
    <row r="7" ht="22.5" customHeight="1">
      <c r="A7" s="4">
        <v>5277893.0</v>
      </c>
      <c r="B7" s="5" t="s">
        <v>293</v>
      </c>
      <c r="C7" s="5" t="s">
        <v>295</v>
      </c>
      <c r="D7" s="8">
        <v>9192.0</v>
      </c>
      <c r="E7" s="8">
        <v>528.0</v>
      </c>
      <c r="F7" s="8">
        <v>8664.0</v>
      </c>
      <c r="G7" s="8">
        <v>5.74</v>
      </c>
      <c r="H7" s="8">
        <v>264.0</v>
      </c>
      <c r="I7" s="8">
        <v>528.0</v>
      </c>
      <c r="J7" s="8">
        <v>0.0</v>
      </c>
      <c r="K7" s="8">
        <v>0.0</v>
      </c>
      <c r="L7" s="13">
        <v>1.0</v>
      </c>
    </row>
    <row r="8" ht="22.5" customHeight="1">
      <c r="A8" s="4">
        <v>2221544.0</v>
      </c>
      <c r="B8" s="5" t="s">
        <v>297</v>
      </c>
      <c r="C8" s="5" t="s">
        <v>298</v>
      </c>
      <c r="D8" s="7">
        <v>34895.0</v>
      </c>
      <c r="E8" s="8">
        <v>492.0</v>
      </c>
      <c r="F8" s="8">
        <v>0.0</v>
      </c>
      <c r="G8" s="8">
        <v>0.0</v>
      </c>
      <c r="H8" s="8">
        <v>166.0</v>
      </c>
      <c r="I8" s="8">
        <v>492.0</v>
      </c>
      <c r="J8" s="8">
        <v>0.0</v>
      </c>
      <c r="K8" s="8">
        <v>0.0</v>
      </c>
      <c r="L8" s="13">
        <v>1.0</v>
      </c>
    </row>
    <row r="9" ht="22.5" customHeight="1">
      <c r="A9" s="4">
        <v>4.0953274E7</v>
      </c>
      <c r="B9" s="5" t="s">
        <v>301</v>
      </c>
      <c r="C9" s="5" t="s">
        <v>302</v>
      </c>
      <c r="D9" s="7">
        <v>415.0</v>
      </c>
      <c r="E9" s="8">
        <v>436.0</v>
      </c>
      <c r="F9" s="8">
        <v>0.0</v>
      </c>
      <c r="G9" s="8">
        <v>0.0</v>
      </c>
      <c r="H9" s="8">
        <v>435.0</v>
      </c>
      <c r="I9" s="8">
        <v>436.0</v>
      </c>
      <c r="J9" s="8">
        <v>0.0</v>
      </c>
      <c r="K9" s="8">
        <v>0.0</v>
      </c>
      <c r="L9" s="18"/>
    </row>
    <row r="10" ht="22.5" customHeight="1">
      <c r="A10" s="4">
        <v>2.2208149E7</v>
      </c>
      <c r="B10" s="5" t="s">
        <v>305</v>
      </c>
      <c r="C10" s="5" t="s">
        <v>306</v>
      </c>
      <c r="D10" s="7">
        <v>13319.0</v>
      </c>
      <c r="E10" s="8">
        <v>244.0</v>
      </c>
      <c r="F10" s="8">
        <v>0.0</v>
      </c>
      <c r="G10" s="8">
        <v>0.0</v>
      </c>
      <c r="H10" s="8">
        <v>80.0</v>
      </c>
      <c r="I10" s="8">
        <v>244.0</v>
      </c>
      <c r="J10" s="8">
        <v>0.0</v>
      </c>
      <c r="K10" s="8">
        <v>0.0</v>
      </c>
      <c r="L10" s="13">
        <v>1.0</v>
      </c>
    </row>
    <row r="11" ht="22.5" customHeight="1">
      <c r="A11" s="4">
        <v>2.0582122E7</v>
      </c>
      <c r="B11" s="5" t="s">
        <v>308</v>
      </c>
      <c r="C11" s="5" t="s">
        <v>309</v>
      </c>
      <c r="D11" s="7">
        <v>38293.0</v>
      </c>
      <c r="E11" s="8">
        <v>174.0</v>
      </c>
      <c r="F11" s="8">
        <v>0.0</v>
      </c>
      <c r="G11" s="8">
        <v>0.0</v>
      </c>
      <c r="H11" s="8">
        <v>169.0</v>
      </c>
      <c r="I11" s="8">
        <v>174.0</v>
      </c>
      <c r="J11" s="8">
        <v>0.0</v>
      </c>
      <c r="K11" s="8">
        <v>0.0</v>
      </c>
      <c r="L11" s="13">
        <v>1.0</v>
      </c>
    </row>
    <row r="12" ht="22.5" customHeight="1">
      <c r="A12" s="4">
        <v>4.4080737E7</v>
      </c>
      <c r="B12" s="5" t="s">
        <v>313</v>
      </c>
      <c r="C12" s="5" t="s">
        <v>314</v>
      </c>
      <c r="D12" s="8">
        <v>15670.0</v>
      </c>
      <c r="E12" s="8">
        <v>97.0</v>
      </c>
      <c r="F12" s="8">
        <v>15573.0</v>
      </c>
      <c r="G12" s="8">
        <v>0.62</v>
      </c>
      <c r="H12" s="8">
        <v>95.0</v>
      </c>
      <c r="I12" s="8">
        <v>97.0</v>
      </c>
      <c r="J12" s="8">
        <v>0.0</v>
      </c>
      <c r="K12" s="8">
        <v>0.0</v>
      </c>
      <c r="L12" s="18"/>
    </row>
    <row r="13" ht="22.5" customHeight="1">
      <c r="A13" s="4">
        <v>2.3243828E7</v>
      </c>
      <c r="B13" s="5" t="s">
        <v>315</v>
      </c>
      <c r="C13" s="5" t="s">
        <v>316</v>
      </c>
      <c r="D13" s="8">
        <v>24300.0</v>
      </c>
      <c r="E13" s="8">
        <v>71.0</v>
      </c>
      <c r="F13" s="8">
        <v>24229.0</v>
      </c>
      <c r="G13" s="8">
        <v>0.29</v>
      </c>
      <c r="H13" s="8">
        <v>70.0</v>
      </c>
      <c r="I13" s="8">
        <v>71.0</v>
      </c>
      <c r="J13" s="8">
        <v>0.0</v>
      </c>
      <c r="K13" s="8">
        <v>0.0</v>
      </c>
      <c r="L13" s="13">
        <v>1.0</v>
      </c>
    </row>
    <row r="14" ht="22.5" customHeight="1">
      <c r="A14" s="4">
        <v>2.2203427E7</v>
      </c>
      <c r="B14" s="5" t="s">
        <v>319</v>
      </c>
      <c r="C14" s="5" t="s">
        <v>320</v>
      </c>
      <c r="D14" s="7">
        <v>4862.0</v>
      </c>
      <c r="E14" s="8">
        <v>58.0</v>
      </c>
      <c r="F14" s="8">
        <v>0.0</v>
      </c>
      <c r="G14" s="8">
        <v>0.0</v>
      </c>
      <c r="H14" s="8">
        <v>56.0</v>
      </c>
      <c r="I14" s="8">
        <v>58.0</v>
      </c>
      <c r="J14" s="8">
        <v>0.0</v>
      </c>
      <c r="K14" s="8">
        <v>0.0</v>
      </c>
      <c r="L14" s="13">
        <v>1.0</v>
      </c>
    </row>
    <row r="15" ht="22.5" customHeight="1">
      <c r="A15" s="4">
        <v>2.0077944E7</v>
      </c>
      <c r="B15" s="5" t="s">
        <v>321</v>
      </c>
      <c r="C15" s="5" t="s">
        <v>322</v>
      </c>
      <c r="D15" s="8">
        <v>10086.0</v>
      </c>
      <c r="E15" s="8">
        <v>53.0</v>
      </c>
      <c r="F15" s="8">
        <v>10033.0</v>
      </c>
      <c r="G15" s="8">
        <v>0.53</v>
      </c>
      <c r="H15" s="8">
        <v>24.0</v>
      </c>
      <c r="I15" s="8">
        <v>53.0</v>
      </c>
      <c r="J15" s="8">
        <v>0.0</v>
      </c>
      <c r="K15" s="8">
        <v>0.0</v>
      </c>
      <c r="L15" s="13">
        <v>1.0</v>
      </c>
    </row>
    <row r="16" ht="22.5" customHeight="1">
      <c r="A16" s="4">
        <v>4.1834554E7</v>
      </c>
      <c r="B16" s="5" t="s">
        <v>325</v>
      </c>
      <c r="C16" s="5" t="s">
        <v>326</v>
      </c>
      <c r="D16" s="8">
        <v>5720.0</v>
      </c>
      <c r="E16" s="8">
        <v>24.0</v>
      </c>
      <c r="F16" s="8">
        <v>5696.0</v>
      </c>
      <c r="G16" s="8">
        <v>0.42</v>
      </c>
      <c r="H16" s="8">
        <v>0.0</v>
      </c>
      <c r="I16" s="8">
        <v>24.0</v>
      </c>
      <c r="J16" s="8">
        <v>0.0</v>
      </c>
      <c r="K16" s="8">
        <v>0.0</v>
      </c>
      <c r="L16" s="13">
        <v>1.0</v>
      </c>
    </row>
    <row r="17" ht="22.5" customHeight="1">
      <c r="A17" s="4">
        <v>3.629838E7</v>
      </c>
      <c r="B17" s="5" t="s">
        <v>328</v>
      </c>
      <c r="C17" s="5" t="s">
        <v>329</v>
      </c>
      <c r="D17" s="7">
        <v>18289.0</v>
      </c>
      <c r="E17" s="8">
        <v>6.0</v>
      </c>
      <c r="F17" s="8">
        <v>0.0</v>
      </c>
      <c r="G17" s="8">
        <v>0.0</v>
      </c>
      <c r="H17" s="8">
        <v>5.0</v>
      </c>
      <c r="I17" s="8">
        <v>6.0</v>
      </c>
      <c r="J17" s="8">
        <v>0.0</v>
      </c>
      <c r="K17" s="8">
        <v>0.0</v>
      </c>
      <c r="L17" s="13">
        <v>1.0</v>
      </c>
    </row>
    <row r="18" ht="22.5" customHeight="1">
      <c r="A18" s="4">
        <v>3.3268944E7</v>
      </c>
      <c r="B18" s="5" t="s">
        <v>331</v>
      </c>
      <c r="C18" s="5" t="s">
        <v>332</v>
      </c>
      <c r="D18" s="8">
        <v>8370.0</v>
      </c>
      <c r="E18" s="8">
        <v>0.0</v>
      </c>
      <c r="F18" s="8">
        <v>8370.0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18"/>
    </row>
    <row r="19" ht="22.5" customHeight="1">
      <c r="A19" s="4">
        <v>4.0991791E7</v>
      </c>
      <c r="B19" s="5" t="s">
        <v>335</v>
      </c>
      <c r="C19" s="5" t="s">
        <v>336</v>
      </c>
      <c r="D19" s="8">
        <v>5011.0</v>
      </c>
      <c r="E19" s="8">
        <v>0.0</v>
      </c>
      <c r="F19" s="8">
        <v>5011.0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13">
        <v>1.0</v>
      </c>
    </row>
    <row r="20" ht="22.5" customHeight="1">
      <c r="A20" s="4">
        <v>3.5271702E7</v>
      </c>
      <c r="B20" s="5" t="s">
        <v>337</v>
      </c>
      <c r="C20" s="5" t="s">
        <v>338</v>
      </c>
      <c r="D20" s="8">
        <v>1785.0</v>
      </c>
      <c r="E20" s="8">
        <v>0.0</v>
      </c>
      <c r="F20" s="8">
        <v>1785.0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13">
        <v>1.0</v>
      </c>
    </row>
    <row r="21" ht="22.5" customHeight="1">
      <c r="A21" s="4">
        <v>1.3730131E7</v>
      </c>
      <c r="B21" s="5" t="s">
        <v>341</v>
      </c>
      <c r="C21" s="5" t="s">
        <v>342</v>
      </c>
      <c r="D21" s="8">
        <v>35405.0</v>
      </c>
      <c r="E21" s="8">
        <v>0.0</v>
      </c>
      <c r="F21" s="8">
        <v>35405.0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13">
        <v>1.0</v>
      </c>
    </row>
    <row r="22" ht="22.5" customHeight="1">
      <c r="A22" s="19" t="s">
        <v>123</v>
      </c>
      <c r="B22" s="20"/>
      <c r="C22" s="20"/>
      <c r="D22" s="21">
        <f t="shared" ref="D22:L22" si="1">SUM(D2:D21)</f>
        <v>584514</v>
      </c>
      <c r="E22" s="21">
        <f t="shared" si="1"/>
        <v>16139</v>
      </c>
      <c r="F22" s="21">
        <f t="shared" si="1"/>
        <v>459731</v>
      </c>
      <c r="G22" s="21">
        <f t="shared" si="1"/>
        <v>133.26</v>
      </c>
      <c r="H22" s="21">
        <f t="shared" si="1"/>
        <v>11489</v>
      </c>
      <c r="I22" s="21">
        <f t="shared" si="1"/>
        <v>16139</v>
      </c>
      <c r="J22" s="21">
        <f t="shared" si="1"/>
        <v>0</v>
      </c>
      <c r="K22" s="21">
        <f t="shared" si="1"/>
        <v>0</v>
      </c>
      <c r="L22" s="21">
        <f t="shared" si="1"/>
        <v>17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</sheetData>
  <dataValidations>
    <dataValidation type="custom" allowBlank="1" showDropDown="1" sqref="A2:A22 D2:K2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2.75"/>
    <col customWidth="1" min="3" max="3" width="21.5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8.13"/>
    <col customWidth="1" min="9" max="9" width="15.75"/>
    <col customWidth="1" min="10" max="10" width="17.75"/>
    <col customWidth="1" min="11" max="11" width="15.75"/>
    <col customWidth="1" min="12" max="12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4">
        <v>2223678.0</v>
      </c>
      <c r="B2" s="5" t="s">
        <v>317</v>
      </c>
      <c r="C2" s="5" t="s">
        <v>318</v>
      </c>
      <c r="D2" s="7">
        <v>71966.0</v>
      </c>
      <c r="E2" s="8">
        <v>1672.0</v>
      </c>
      <c r="F2" s="8">
        <v>0.0</v>
      </c>
      <c r="G2" s="8">
        <v>0.0</v>
      </c>
      <c r="H2" s="8">
        <v>1659.0</v>
      </c>
      <c r="I2" s="8">
        <v>1672.0</v>
      </c>
      <c r="J2" s="8">
        <v>0.0</v>
      </c>
      <c r="K2" s="8">
        <v>0.0</v>
      </c>
      <c r="L2" s="18"/>
    </row>
    <row r="3" ht="22.5" customHeight="1">
      <c r="A3" s="4">
        <v>2.644943E7</v>
      </c>
      <c r="B3" s="5" t="s">
        <v>323</v>
      </c>
      <c r="C3" s="5" t="s">
        <v>324</v>
      </c>
      <c r="D3" s="7">
        <v>1342.0</v>
      </c>
      <c r="E3" s="8">
        <v>974.0</v>
      </c>
      <c r="F3" s="8">
        <v>0.0</v>
      </c>
      <c r="G3" s="8">
        <v>0.0</v>
      </c>
      <c r="H3" s="8">
        <v>974.0</v>
      </c>
      <c r="I3" s="8">
        <v>974.0</v>
      </c>
      <c r="J3" s="8">
        <v>0.0</v>
      </c>
      <c r="K3" s="8">
        <v>0.0</v>
      </c>
      <c r="L3" s="13">
        <v>1.0</v>
      </c>
    </row>
    <row r="4" ht="22.5" customHeight="1">
      <c r="A4" s="4">
        <v>2.6321998E7</v>
      </c>
      <c r="B4" s="5" t="s">
        <v>327</v>
      </c>
      <c r="C4" s="5" t="s">
        <v>330</v>
      </c>
      <c r="D4" s="7">
        <v>2828.0</v>
      </c>
      <c r="E4" s="8">
        <v>921.0</v>
      </c>
      <c r="F4" s="8">
        <v>0.0</v>
      </c>
      <c r="G4" s="8">
        <v>0.0</v>
      </c>
      <c r="H4" s="8">
        <v>885.0</v>
      </c>
      <c r="I4" s="8">
        <v>921.0</v>
      </c>
      <c r="J4" s="8">
        <v>0.0</v>
      </c>
      <c r="K4" s="8">
        <v>0.0</v>
      </c>
      <c r="L4" s="13">
        <v>1.0</v>
      </c>
    </row>
    <row r="5" ht="22.5" customHeight="1">
      <c r="A5" s="4">
        <v>2.3695571E7</v>
      </c>
      <c r="B5" s="5" t="s">
        <v>333</v>
      </c>
      <c r="C5" s="5" t="s">
        <v>334</v>
      </c>
      <c r="D5" s="7">
        <v>6279.0</v>
      </c>
      <c r="E5" s="8">
        <v>915.0</v>
      </c>
      <c r="F5" s="8">
        <v>0.0</v>
      </c>
      <c r="G5" s="8">
        <v>0.0</v>
      </c>
      <c r="H5" s="8">
        <v>590.0</v>
      </c>
      <c r="I5" s="8">
        <v>915.0</v>
      </c>
      <c r="J5" s="8">
        <v>0.0</v>
      </c>
      <c r="K5" s="8">
        <v>0.0</v>
      </c>
      <c r="L5" s="13">
        <v>1.0</v>
      </c>
    </row>
    <row r="6" ht="22.5" customHeight="1">
      <c r="A6" s="4">
        <v>2.6321823E7</v>
      </c>
      <c r="B6" s="5" t="s">
        <v>339</v>
      </c>
      <c r="C6" s="5" t="s">
        <v>340</v>
      </c>
      <c r="D6" s="8">
        <v>5300.0</v>
      </c>
      <c r="E6" s="8">
        <v>729.0</v>
      </c>
      <c r="F6" s="8">
        <v>4571.0</v>
      </c>
      <c r="G6" s="8">
        <v>13.75</v>
      </c>
      <c r="H6" s="8">
        <v>724.0</v>
      </c>
      <c r="I6" s="8">
        <v>729.0</v>
      </c>
      <c r="J6" s="8">
        <v>0.0</v>
      </c>
      <c r="K6" s="8">
        <v>0.0</v>
      </c>
      <c r="L6" s="13">
        <v>1.0</v>
      </c>
    </row>
    <row r="7" ht="22.5" customHeight="1">
      <c r="A7" s="4">
        <v>2.3683332E7</v>
      </c>
      <c r="B7" s="5" t="s">
        <v>343</v>
      </c>
      <c r="C7" s="5" t="s">
        <v>344</v>
      </c>
      <c r="D7" s="7">
        <v>12613.0</v>
      </c>
      <c r="E7" s="8">
        <v>579.0</v>
      </c>
      <c r="F7" s="8">
        <v>0.0</v>
      </c>
      <c r="G7" s="8">
        <v>0.0</v>
      </c>
      <c r="H7" s="8">
        <v>568.0</v>
      </c>
      <c r="I7" s="8">
        <v>579.0</v>
      </c>
      <c r="J7" s="8">
        <v>0.0</v>
      </c>
      <c r="K7" s="8">
        <v>0.0</v>
      </c>
      <c r="L7" s="13">
        <v>1.0</v>
      </c>
    </row>
    <row r="8" ht="22.5" customHeight="1">
      <c r="A8" s="4">
        <v>3.3418242E7</v>
      </c>
      <c r="B8" s="5" t="s">
        <v>345</v>
      </c>
      <c r="C8" s="5" t="s">
        <v>346</v>
      </c>
      <c r="D8" s="7">
        <v>3719.0</v>
      </c>
      <c r="E8" s="8">
        <v>570.0</v>
      </c>
      <c r="F8" s="8">
        <v>0.0</v>
      </c>
      <c r="G8" s="8">
        <v>0.0</v>
      </c>
      <c r="H8" s="8">
        <v>480.0</v>
      </c>
      <c r="I8" s="8">
        <v>570.0</v>
      </c>
      <c r="J8" s="8">
        <v>0.0</v>
      </c>
      <c r="K8" s="8">
        <v>0.0</v>
      </c>
      <c r="L8" s="13">
        <v>1.0</v>
      </c>
    </row>
    <row r="9" ht="22.5" customHeight="1">
      <c r="A9" s="4">
        <v>2.6448175E7</v>
      </c>
      <c r="B9" s="5" t="s">
        <v>347</v>
      </c>
      <c r="C9" s="5" t="s">
        <v>348</v>
      </c>
      <c r="D9" s="7">
        <v>3025.0</v>
      </c>
      <c r="E9" s="8">
        <v>556.0</v>
      </c>
      <c r="F9" s="8">
        <v>0.0</v>
      </c>
      <c r="G9" s="8">
        <v>0.0</v>
      </c>
      <c r="H9" s="8">
        <v>554.0</v>
      </c>
      <c r="I9" s="8">
        <v>556.0</v>
      </c>
      <c r="J9" s="8">
        <v>0.0</v>
      </c>
      <c r="K9" s="8">
        <v>0.0</v>
      </c>
      <c r="L9" s="18"/>
    </row>
    <row r="10" ht="22.5" customHeight="1">
      <c r="A10" s="4">
        <v>2.63226E7</v>
      </c>
      <c r="B10" s="5" t="s">
        <v>349</v>
      </c>
      <c r="C10" s="5" t="s">
        <v>350</v>
      </c>
      <c r="D10" s="7">
        <v>4128.0</v>
      </c>
      <c r="E10" s="8">
        <v>511.0</v>
      </c>
      <c r="F10" s="8">
        <v>0.0</v>
      </c>
      <c r="G10" s="8">
        <v>0.0</v>
      </c>
      <c r="H10" s="8">
        <v>500.0</v>
      </c>
      <c r="I10" s="8">
        <v>511.0</v>
      </c>
      <c r="J10" s="8">
        <v>0.0</v>
      </c>
      <c r="K10" s="8">
        <v>0.0</v>
      </c>
      <c r="L10" s="13">
        <v>1.0</v>
      </c>
    </row>
    <row r="11" ht="22.5" customHeight="1">
      <c r="A11" s="4">
        <v>2.3906252E7</v>
      </c>
      <c r="B11" s="5" t="s">
        <v>351</v>
      </c>
      <c r="C11" s="5" t="s">
        <v>352</v>
      </c>
      <c r="D11" s="8">
        <v>16237.0</v>
      </c>
      <c r="E11" s="8">
        <v>498.0</v>
      </c>
      <c r="F11" s="8">
        <v>15739.0</v>
      </c>
      <c r="G11" s="8">
        <v>3.07</v>
      </c>
      <c r="H11" s="8">
        <v>490.0</v>
      </c>
      <c r="I11" s="8">
        <v>498.0</v>
      </c>
      <c r="J11" s="8">
        <v>0.0</v>
      </c>
      <c r="K11" s="8">
        <v>0.0</v>
      </c>
      <c r="L11" s="13">
        <v>1.0</v>
      </c>
    </row>
    <row r="12" ht="22.5" customHeight="1">
      <c r="A12" s="4">
        <v>3.3708334E7</v>
      </c>
      <c r="B12" s="5" t="s">
        <v>353</v>
      </c>
      <c r="C12" s="5" t="s">
        <v>354</v>
      </c>
      <c r="D12" s="7">
        <v>3569.0</v>
      </c>
      <c r="E12" s="8">
        <v>462.0</v>
      </c>
      <c r="F12" s="8">
        <v>0.0</v>
      </c>
      <c r="G12" s="8">
        <v>0.0</v>
      </c>
      <c r="H12" s="8">
        <v>416.0</v>
      </c>
      <c r="I12" s="8">
        <v>462.0</v>
      </c>
      <c r="J12" s="8">
        <v>0.0</v>
      </c>
      <c r="K12" s="8">
        <v>0.0</v>
      </c>
      <c r="L12" s="13">
        <v>1.0</v>
      </c>
    </row>
    <row r="13" ht="22.5" customHeight="1">
      <c r="A13" s="4">
        <v>2.3899368E7</v>
      </c>
      <c r="B13" s="5" t="s">
        <v>355</v>
      </c>
      <c r="C13" s="5" t="s">
        <v>356</v>
      </c>
      <c r="D13" s="8">
        <v>17503.0</v>
      </c>
      <c r="E13" s="8">
        <v>427.0</v>
      </c>
      <c r="F13" s="8">
        <v>17076.0</v>
      </c>
      <c r="G13" s="8">
        <v>2.44</v>
      </c>
      <c r="H13" s="8">
        <v>426.0</v>
      </c>
      <c r="I13" s="8">
        <v>427.0</v>
      </c>
      <c r="J13" s="8">
        <v>0.0</v>
      </c>
      <c r="K13" s="8">
        <v>0.0</v>
      </c>
      <c r="L13" s="13">
        <v>1.0</v>
      </c>
    </row>
    <row r="14" ht="22.5" customHeight="1">
      <c r="A14" s="4">
        <v>2.3900114E7</v>
      </c>
      <c r="B14" s="5" t="s">
        <v>361</v>
      </c>
      <c r="C14" s="5" t="s">
        <v>362</v>
      </c>
      <c r="D14" s="7">
        <v>5392.0</v>
      </c>
      <c r="E14" s="8">
        <v>402.0</v>
      </c>
      <c r="F14" s="8">
        <v>0.0</v>
      </c>
      <c r="G14" s="8">
        <v>0.0</v>
      </c>
      <c r="H14" s="8">
        <v>369.0</v>
      </c>
      <c r="I14" s="8">
        <v>402.0</v>
      </c>
      <c r="J14" s="8">
        <v>0.0</v>
      </c>
      <c r="K14" s="8">
        <v>0.0</v>
      </c>
      <c r="L14" s="13">
        <v>1.0</v>
      </c>
    </row>
    <row r="15" ht="22.5" customHeight="1">
      <c r="A15" s="4">
        <v>3.6952065E7</v>
      </c>
      <c r="B15" s="5" t="s">
        <v>367</v>
      </c>
      <c r="C15" s="5" t="s">
        <v>369</v>
      </c>
      <c r="D15" s="7">
        <v>801.0</v>
      </c>
      <c r="E15" s="8">
        <v>309.0</v>
      </c>
      <c r="F15" s="8">
        <v>0.0</v>
      </c>
      <c r="G15" s="8">
        <v>0.0</v>
      </c>
      <c r="H15" s="8">
        <v>309.0</v>
      </c>
      <c r="I15" s="8">
        <v>309.0</v>
      </c>
      <c r="J15" s="8">
        <v>0.0</v>
      </c>
      <c r="K15" s="8">
        <v>0.0</v>
      </c>
      <c r="L15" s="18"/>
    </row>
    <row r="16" ht="22.5" customHeight="1">
      <c r="A16" s="4">
        <v>1.3772253E7</v>
      </c>
      <c r="B16" s="5" t="s">
        <v>377</v>
      </c>
      <c r="C16" s="5" t="s">
        <v>379</v>
      </c>
      <c r="D16" s="7">
        <v>21775.0</v>
      </c>
      <c r="E16" s="8">
        <v>305.0</v>
      </c>
      <c r="F16" s="8">
        <v>0.0</v>
      </c>
      <c r="G16" s="8">
        <v>0.0</v>
      </c>
      <c r="H16" s="8">
        <v>305.0</v>
      </c>
      <c r="I16" s="8">
        <v>305.0</v>
      </c>
      <c r="J16" s="8">
        <v>0.0</v>
      </c>
      <c r="K16" s="8">
        <v>0.0</v>
      </c>
      <c r="L16" s="13">
        <v>1.0</v>
      </c>
    </row>
    <row r="17" ht="22.5" customHeight="1">
      <c r="A17" s="4">
        <v>3.3142259E7</v>
      </c>
      <c r="B17" s="5" t="s">
        <v>385</v>
      </c>
      <c r="C17" s="5" t="s">
        <v>389</v>
      </c>
      <c r="D17" s="7">
        <v>4397.0</v>
      </c>
      <c r="E17" s="8">
        <v>253.0</v>
      </c>
      <c r="F17" s="8">
        <v>0.0</v>
      </c>
      <c r="G17" s="8">
        <v>0.0</v>
      </c>
      <c r="H17" s="8">
        <v>227.0</v>
      </c>
      <c r="I17" s="8">
        <v>253.0</v>
      </c>
      <c r="J17" s="8">
        <v>0.0</v>
      </c>
      <c r="K17" s="8">
        <v>0.0</v>
      </c>
      <c r="L17" s="13">
        <v>1.0</v>
      </c>
    </row>
    <row r="18" ht="22.5" customHeight="1">
      <c r="A18" s="4">
        <v>2.632202E7</v>
      </c>
      <c r="B18" s="5" t="s">
        <v>393</v>
      </c>
      <c r="C18" s="5" t="s">
        <v>394</v>
      </c>
      <c r="D18" s="7">
        <v>1125.0</v>
      </c>
      <c r="E18" s="8">
        <v>210.0</v>
      </c>
      <c r="F18" s="8">
        <v>0.0</v>
      </c>
      <c r="G18" s="8">
        <v>0.0</v>
      </c>
      <c r="H18" s="8">
        <v>209.0</v>
      </c>
      <c r="I18" s="8">
        <v>210.0</v>
      </c>
      <c r="J18" s="8">
        <v>0.0</v>
      </c>
      <c r="K18" s="8">
        <v>0.0</v>
      </c>
      <c r="L18" s="13">
        <v>1.0</v>
      </c>
    </row>
    <row r="19" ht="22.5" customHeight="1">
      <c r="A19" s="4">
        <v>2.6491656E7</v>
      </c>
      <c r="B19" s="5" t="s">
        <v>400</v>
      </c>
      <c r="C19" s="5" t="s">
        <v>402</v>
      </c>
      <c r="D19" s="7">
        <v>3721.0</v>
      </c>
      <c r="E19" s="8">
        <v>193.0</v>
      </c>
      <c r="F19" s="8">
        <v>0.0</v>
      </c>
      <c r="G19" s="8">
        <v>0.0</v>
      </c>
      <c r="H19" s="8">
        <v>180.0</v>
      </c>
      <c r="I19" s="8">
        <v>193.0</v>
      </c>
      <c r="J19" s="8">
        <v>0.0</v>
      </c>
      <c r="K19" s="8">
        <v>0.0</v>
      </c>
      <c r="L19" s="13">
        <v>1.0</v>
      </c>
    </row>
    <row r="20" ht="22.5" customHeight="1">
      <c r="A20" s="4">
        <v>3.9580831E7</v>
      </c>
      <c r="B20" s="5" t="s">
        <v>407</v>
      </c>
      <c r="C20" s="5" t="s">
        <v>408</v>
      </c>
      <c r="D20" s="7">
        <v>27984.0</v>
      </c>
      <c r="E20" s="8">
        <v>170.0</v>
      </c>
      <c r="F20" s="8">
        <v>0.0</v>
      </c>
      <c r="G20" s="8">
        <v>0.0</v>
      </c>
      <c r="H20" s="8">
        <v>170.0</v>
      </c>
      <c r="I20" s="8">
        <v>170.0</v>
      </c>
      <c r="J20" s="8">
        <v>0.0</v>
      </c>
      <c r="K20" s="8">
        <v>0.0</v>
      </c>
      <c r="L20" s="13">
        <v>1.0</v>
      </c>
    </row>
    <row r="21" ht="22.5" customHeight="1">
      <c r="A21" s="4">
        <v>4.3918452E7</v>
      </c>
      <c r="B21" s="5" t="s">
        <v>414</v>
      </c>
      <c r="C21" s="5" t="s">
        <v>416</v>
      </c>
      <c r="D21" s="7">
        <v>3670.0</v>
      </c>
      <c r="E21" s="8">
        <v>107.0</v>
      </c>
      <c r="F21" s="8">
        <v>0.0</v>
      </c>
      <c r="G21" s="8">
        <v>0.0</v>
      </c>
      <c r="H21" s="8">
        <v>106.0</v>
      </c>
      <c r="I21" s="8">
        <v>107.0</v>
      </c>
      <c r="J21" s="8">
        <v>0.0</v>
      </c>
      <c r="K21" s="8">
        <v>0.0</v>
      </c>
      <c r="L21" s="13">
        <v>1.0</v>
      </c>
    </row>
    <row r="22" ht="22.5" customHeight="1">
      <c r="A22" s="4">
        <v>2.6449803E7</v>
      </c>
      <c r="B22" s="5" t="s">
        <v>421</v>
      </c>
      <c r="C22" s="5" t="s">
        <v>422</v>
      </c>
      <c r="D22" s="7">
        <v>4055.0</v>
      </c>
      <c r="E22" s="8">
        <v>81.0</v>
      </c>
      <c r="F22" s="8">
        <v>0.0</v>
      </c>
      <c r="G22" s="8">
        <v>0.0</v>
      </c>
      <c r="H22" s="8">
        <v>79.0</v>
      </c>
      <c r="I22" s="8">
        <v>81.0</v>
      </c>
      <c r="J22" s="8">
        <v>0.0</v>
      </c>
      <c r="K22" s="8">
        <v>0.0</v>
      </c>
      <c r="L22" s="13">
        <v>1.0</v>
      </c>
    </row>
    <row r="23" ht="22.5" customHeight="1">
      <c r="A23" s="4">
        <v>2.3691047E7</v>
      </c>
      <c r="B23" s="5" t="s">
        <v>427</v>
      </c>
      <c r="C23" s="5" t="s">
        <v>429</v>
      </c>
      <c r="D23" s="7">
        <v>6300.0</v>
      </c>
      <c r="E23" s="8">
        <v>76.0</v>
      </c>
      <c r="F23" s="8">
        <v>0.0</v>
      </c>
      <c r="G23" s="8">
        <v>0.0</v>
      </c>
      <c r="H23" s="8">
        <v>35.0</v>
      </c>
      <c r="I23" s="8">
        <v>76.0</v>
      </c>
      <c r="J23" s="8">
        <v>0.0</v>
      </c>
      <c r="K23" s="8">
        <v>0.0</v>
      </c>
      <c r="L23" s="13">
        <v>1.0</v>
      </c>
    </row>
    <row r="24" ht="22.5" customHeight="1">
      <c r="A24" s="4">
        <v>2.6321262E7</v>
      </c>
      <c r="B24" s="5" t="s">
        <v>435</v>
      </c>
      <c r="C24" s="5" t="s">
        <v>436</v>
      </c>
      <c r="D24" s="7">
        <v>7914.0</v>
      </c>
      <c r="E24" s="8">
        <v>70.0</v>
      </c>
      <c r="F24" s="8">
        <v>0.0</v>
      </c>
      <c r="G24" s="8">
        <v>0.0</v>
      </c>
      <c r="H24" s="8">
        <v>61.0</v>
      </c>
      <c r="I24" s="8">
        <v>70.0</v>
      </c>
      <c r="J24" s="8">
        <v>0.0</v>
      </c>
      <c r="K24" s="8">
        <v>0.0</v>
      </c>
      <c r="L24" s="13">
        <v>1.0</v>
      </c>
    </row>
    <row r="25" ht="22.5" customHeight="1">
      <c r="A25" s="4">
        <v>2.6449447E7</v>
      </c>
      <c r="B25" s="5" t="s">
        <v>441</v>
      </c>
      <c r="C25" s="5" t="s">
        <v>444</v>
      </c>
      <c r="D25" s="7">
        <v>1250.0</v>
      </c>
      <c r="E25" s="8">
        <v>65.0</v>
      </c>
      <c r="F25" s="8">
        <v>0.0</v>
      </c>
      <c r="G25" s="8">
        <v>0.0</v>
      </c>
      <c r="H25" s="8">
        <v>65.0</v>
      </c>
      <c r="I25" s="8">
        <v>65.0</v>
      </c>
      <c r="J25" s="8">
        <v>0.0</v>
      </c>
      <c r="K25" s="8">
        <v>0.0</v>
      </c>
      <c r="L25" s="13">
        <v>1.0</v>
      </c>
    </row>
    <row r="26" ht="22.5" customHeight="1">
      <c r="A26" s="4">
        <v>3.2836315E7</v>
      </c>
      <c r="B26" s="5" t="s">
        <v>449</v>
      </c>
      <c r="C26" s="5" t="s">
        <v>450</v>
      </c>
      <c r="D26" s="8">
        <v>6972.0</v>
      </c>
      <c r="E26" s="8">
        <v>62.0</v>
      </c>
      <c r="F26" s="8">
        <v>6910.0</v>
      </c>
      <c r="G26" s="8">
        <v>0.89</v>
      </c>
      <c r="H26" s="8">
        <v>60.0</v>
      </c>
      <c r="I26" s="8">
        <v>62.0</v>
      </c>
      <c r="J26" s="8">
        <v>0.0</v>
      </c>
      <c r="K26" s="8">
        <v>0.0</v>
      </c>
      <c r="L26" s="13">
        <v>1.0</v>
      </c>
    </row>
    <row r="27" ht="22.5" customHeight="1">
      <c r="A27" s="4">
        <v>2.4708867E7</v>
      </c>
      <c r="B27" s="5" t="s">
        <v>457</v>
      </c>
      <c r="C27" s="5" t="s">
        <v>458</v>
      </c>
      <c r="D27" s="7">
        <v>9506.0</v>
      </c>
      <c r="E27" s="8">
        <v>53.0</v>
      </c>
      <c r="F27" s="8">
        <v>0.0</v>
      </c>
      <c r="G27" s="8">
        <v>0.0</v>
      </c>
      <c r="H27" s="8">
        <v>52.0</v>
      </c>
      <c r="I27" s="8">
        <v>53.0</v>
      </c>
      <c r="J27" s="8">
        <v>0.0</v>
      </c>
      <c r="K27" s="8">
        <v>0.0</v>
      </c>
      <c r="L27" s="13">
        <v>1.0</v>
      </c>
    </row>
    <row r="28" ht="22.5" customHeight="1">
      <c r="A28" s="4">
        <v>2.6449341E7</v>
      </c>
      <c r="B28" s="5" t="s">
        <v>462</v>
      </c>
      <c r="C28" s="5" t="s">
        <v>464</v>
      </c>
      <c r="D28" s="8">
        <v>4200.0</v>
      </c>
      <c r="E28" s="8">
        <v>37.0</v>
      </c>
      <c r="F28" s="8">
        <v>4163.0</v>
      </c>
      <c r="G28" s="8">
        <v>0.88</v>
      </c>
      <c r="H28" s="8">
        <v>8.0</v>
      </c>
      <c r="I28" s="8">
        <v>37.0</v>
      </c>
      <c r="J28" s="8">
        <v>0.0</v>
      </c>
      <c r="K28" s="8">
        <v>0.0</v>
      </c>
      <c r="L28" s="13">
        <v>1.0</v>
      </c>
    </row>
    <row r="29" ht="22.5" customHeight="1">
      <c r="A29" s="4">
        <v>3.1099359E7</v>
      </c>
      <c r="B29" s="5" t="s">
        <v>470</v>
      </c>
      <c r="C29" s="5" t="s">
        <v>472</v>
      </c>
      <c r="D29" s="7">
        <v>2254.0</v>
      </c>
      <c r="E29" s="8">
        <v>9.0</v>
      </c>
      <c r="F29" s="8">
        <v>0.0</v>
      </c>
      <c r="G29" s="8">
        <v>0.0</v>
      </c>
      <c r="H29" s="8">
        <v>8.0</v>
      </c>
      <c r="I29" s="8">
        <v>9.0</v>
      </c>
      <c r="J29" s="8">
        <v>0.0</v>
      </c>
      <c r="K29" s="8">
        <v>0.0</v>
      </c>
      <c r="L29" s="18"/>
    </row>
    <row r="30" ht="22.5" customHeight="1">
      <c r="A30" s="38">
        <v>3.2502846E7</v>
      </c>
      <c r="B30" s="39" t="s">
        <v>477</v>
      </c>
      <c r="C30" s="39" t="s">
        <v>478</v>
      </c>
      <c r="D30" s="40">
        <v>3982.0</v>
      </c>
      <c r="E30" s="41">
        <v>175.0</v>
      </c>
      <c r="F30" s="41">
        <v>0.0</v>
      </c>
      <c r="G30" s="41">
        <v>0.0</v>
      </c>
      <c r="H30" s="41">
        <v>175.0</v>
      </c>
      <c r="I30" s="41">
        <v>175.0</v>
      </c>
      <c r="J30" s="41">
        <v>0.0</v>
      </c>
      <c r="K30" s="41">
        <v>0.0</v>
      </c>
      <c r="L30" s="43">
        <v>1.0</v>
      </c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</row>
    <row r="31" ht="22.5" customHeight="1">
      <c r="A31" s="31" t="s">
        <v>123</v>
      </c>
      <c r="B31" s="32"/>
      <c r="C31" s="32"/>
      <c r="D31" s="34">
        <f>SUM(D2:D29)</f>
        <v>259825</v>
      </c>
      <c r="E31" s="34">
        <f t="shared" ref="E31:L31" si="1">SUM(E2:E30)</f>
        <v>11391</v>
      </c>
      <c r="F31" s="34">
        <f t="shared" si="1"/>
        <v>48459</v>
      </c>
      <c r="G31" s="34">
        <f t="shared" si="1"/>
        <v>21.03</v>
      </c>
      <c r="H31" s="34">
        <f t="shared" si="1"/>
        <v>10684</v>
      </c>
      <c r="I31" s="34">
        <f t="shared" si="1"/>
        <v>11391</v>
      </c>
      <c r="J31" s="34">
        <f t="shared" si="1"/>
        <v>0</v>
      </c>
      <c r="K31" s="34">
        <f t="shared" si="1"/>
        <v>0</v>
      </c>
      <c r="L31" s="34">
        <f t="shared" si="1"/>
        <v>25</v>
      </c>
    </row>
  </sheetData>
  <dataValidations>
    <dataValidation type="custom" allowBlank="1" showDropDown="1" sqref="A2:A31 D2:K3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63"/>
    <col customWidth="1" min="3" max="3" width="21.5"/>
    <col customWidth="1" min="4" max="4" width="16.75"/>
    <col customWidth="1" min="5" max="5" width="14.88"/>
    <col customWidth="1" min="6" max="6" width="15.75"/>
    <col customWidth="1" min="7" max="7" width="16.25"/>
    <col customWidth="1" min="8" max="8" width="18.88"/>
    <col customWidth="1" min="9" max="10" width="16.75"/>
    <col customWidth="1" min="11" max="11" width="16.5"/>
    <col customWidth="1" min="12" max="12" width="1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5">
        <v>2.0187905E7</v>
      </c>
      <c r="B2" s="5" t="s">
        <v>357</v>
      </c>
      <c r="C2" s="5" t="s">
        <v>358</v>
      </c>
      <c r="D2" s="28">
        <v>18221.0</v>
      </c>
      <c r="E2" s="26">
        <v>219.0</v>
      </c>
      <c r="F2" s="26">
        <v>0.0</v>
      </c>
      <c r="G2" s="26">
        <v>0.0</v>
      </c>
      <c r="H2" s="26">
        <v>0.0</v>
      </c>
      <c r="I2" s="26">
        <v>219.0</v>
      </c>
      <c r="J2" s="26">
        <v>0.0</v>
      </c>
      <c r="K2" s="26">
        <v>0.0</v>
      </c>
      <c r="L2" s="27">
        <v>1.0</v>
      </c>
    </row>
    <row r="3" ht="22.5" customHeight="1">
      <c r="A3" s="5">
        <v>3.8763269E7</v>
      </c>
      <c r="B3" s="5" t="s">
        <v>364</v>
      </c>
      <c r="C3" s="5" t="s">
        <v>366</v>
      </c>
      <c r="D3" s="28">
        <v>4086.0</v>
      </c>
      <c r="E3" s="26">
        <v>0.0</v>
      </c>
      <c r="F3" s="26">
        <v>0.0</v>
      </c>
      <c r="G3" s="26">
        <v>0.0</v>
      </c>
      <c r="H3" s="26">
        <v>0.0</v>
      </c>
      <c r="I3" s="26">
        <v>0.0</v>
      </c>
      <c r="J3" s="26">
        <v>0.0</v>
      </c>
      <c r="K3" s="26">
        <v>0.0</v>
      </c>
      <c r="L3" s="27">
        <v>1.0</v>
      </c>
    </row>
    <row r="4" ht="22.5" customHeight="1">
      <c r="A4" s="5">
        <v>3.3871227E7</v>
      </c>
      <c r="B4" s="5" t="s">
        <v>371</v>
      </c>
      <c r="C4" s="5" t="s">
        <v>372</v>
      </c>
      <c r="D4" s="28">
        <v>4498.0</v>
      </c>
      <c r="E4" s="26">
        <v>0.0</v>
      </c>
      <c r="F4" s="26">
        <v>0.0</v>
      </c>
      <c r="G4" s="26">
        <v>0.0</v>
      </c>
      <c r="H4" s="26">
        <v>0.0</v>
      </c>
      <c r="I4" s="26">
        <v>0.0</v>
      </c>
      <c r="J4" s="26">
        <v>0.0</v>
      </c>
      <c r="K4" s="26">
        <v>0.0</v>
      </c>
      <c r="L4" s="27">
        <v>1.0</v>
      </c>
    </row>
    <row r="5" ht="22.5" customHeight="1">
      <c r="A5" s="5">
        <v>3.6179281E7</v>
      </c>
      <c r="B5" s="5" t="s">
        <v>378</v>
      </c>
      <c r="C5" s="5" t="s">
        <v>380</v>
      </c>
      <c r="D5" s="28">
        <v>9192.0</v>
      </c>
      <c r="E5" s="26">
        <v>0.0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v>0.0</v>
      </c>
      <c r="L5" s="27">
        <v>1.0</v>
      </c>
    </row>
    <row r="6" ht="22.5" customHeight="1">
      <c r="A6" s="5">
        <v>2226228.0</v>
      </c>
      <c r="B6" s="5" t="s">
        <v>383</v>
      </c>
      <c r="C6" s="5" t="s">
        <v>384</v>
      </c>
      <c r="D6" s="28">
        <v>12669.0</v>
      </c>
      <c r="E6" s="26">
        <v>0.0</v>
      </c>
      <c r="F6" s="26">
        <v>0.0</v>
      </c>
      <c r="G6" s="26">
        <v>0.0</v>
      </c>
      <c r="H6" s="26">
        <v>0.0</v>
      </c>
      <c r="I6" s="26">
        <v>0.0</v>
      </c>
      <c r="J6" s="26">
        <v>0.0</v>
      </c>
      <c r="K6" s="26">
        <v>0.0</v>
      </c>
      <c r="L6" s="36">
        <v>1.0</v>
      </c>
    </row>
    <row r="7" ht="22.5" customHeight="1">
      <c r="A7" s="31" t="s">
        <v>123</v>
      </c>
      <c r="B7" s="32"/>
      <c r="C7" s="32"/>
      <c r="D7" s="32">
        <f t="shared" ref="D7:L7" si="1">SUM(D2:D6)</f>
        <v>48666</v>
      </c>
      <c r="E7" s="32">
        <f t="shared" si="1"/>
        <v>219</v>
      </c>
      <c r="F7" s="32">
        <f t="shared" si="1"/>
        <v>0</v>
      </c>
      <c r="G7" s="32">
        <f t="shared" si="1"/>
        <v>0</v>
      </c>
      <c r="H7" s="32">
        <f t="shared" si="1"/>
        <v>0</v>
      </c>
      <c r="I7" s="32">
        <f t="shared" si="1"/>
        <v>219</v>
      </c>
      <c r="J7" s="32">
        <f t="shared" si="1"/>
        <v>0</v>
      </c>
      <c r="K7" s="32">
        <f t="shared" si="1"/>
        <v>0</v>
      </c>
      <c r="L7" s="32">
        <f t="shared" si="1"/>
        <v>5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0.5"/>
    <col customWidth="1" min="3" max="3" width="16.88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9.25"/>
    <col customWidth="1" min="9" max="9" width="15.75"/>
    <col customWidth="1" min="10" max="10" width="19.0"/>
    <col customWidth="1" min="11" max="11" width="15.75"/>
    <col customWidth="1" min="12" max="12" width="1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4">
        <v>2219719.0</v>
      </c>
      <c r="B2" s="5" t="s">
        <v>359</v>
      </c>
      <c r="C2" s="5" t="s">
        <v>360</v>
      </c>
      <c r="D2" s="7">
        <v>355684.0</v>
      </c>
      <c r="E2" s="8">
        <v>4708.0</v>
      </c>
      <c r="F2" s="8">
        <v>0.0</v>
      </c>
      <c r="G2" s="8">
        <v>0.0</v>
      </c>
      <c r="H2" s="8">
        <v>2767.0</v>
      </c>
      <c r="I2" s="8">
        <v>3696.0</v>
      </c>
      <c r="J2" s="8">
        <v>907.0</v>
      </c>
      <c r="K2" s="8">
        <v>1012.0</v>
      </c>
      <c r="L2" s="13">
        <v>1.0</v>
      </c>
    </row>
    <row r="3" ht="22.5" customHeight="1">
      <c r="A3" s="4">
        <v>2219725.0</v>
      </c>
      <c r="B3" s="5" t="s">
        <v>363</v>
      </c>
      <c r="C3" s="5" t="s">
        <v>365</v>
      </c>
      <c r="D3" s="7">
        <v>0.0</v>
      </c>
      <c r="E3" s="8">
        <v>2023.0</v>
      </c>
      <c r="F3" s="8">
        <v>0.0</v>
      </c>
      <c r="G3" s="8">
        <v>0.0</v>
      </c>
      <c r="H3" s="8">
        <v>1925.0</v>
      </c>
      <c r="I3" s="8">
        <v>2023.0</v>
      </c>
      <c r="J3" s="8">
        <v>0.0</v>
      </c>
      <c r="K3" s="8">
        <v>0.0</v>
      </c>
      <c r="L3" s="13">
        <v>1.0</v>
      </c>
    </row>
    <row r="4" ht="22.5" customHeight="1">
      <c r="A4" s="4">
        <v>3.3839909E7</v>
      </c>
      <c r="B4" s="35" t="s">
        <v>368</v>
      </c>
      <c r="C4" s="35" t="s">
        <v>370</v>
      </c>
      <c r="D4" s="7">
        <v>0.0</v>
      </c>
      <c r="E4" s="8">
        <v>1626.0</v>
      </c>
      <c r="F4" s="8">
        <v>0.0</v>
      </c>
      <c r="G4" s="8">
        <v>0.0</v>
      </c>
      <c r="H4" s="8">
        <v>1586.0</v>
      </c>
      <c r="I4" s="8">
        <v>1626.0</v>
      </c>
      <c r="J4" s="8">
        <v>0.0</v>
      </c>
      <c r="K4" s="8">
        <v>0.0</v>
      </c>
      <c r="L4" s="13">
        <v>1.0</v>
      </c>
    </row>
    <row r="5" ht="22.5" customHeight="1">
      <c r="A5" s="4">
        <v>4.3982418E7</v>
      </c>
      <c r="B5" s="5" t="s">
        <v>375</v>
      </c>
      <c r="C5" s="5" t="s">
        <v>376</v>
      </c>
      <c r="D5" s="7">
        <v>1121.0</v>
      </c>
      <c r="E5" s="8">
        <v>1080.0</v>
      </c>
      <c r="F5" s="8">
        <v>0.0</v>
      </c>
      <c r="G5" s="8">
        <v>0.0</v>
      </c>
      <c r="H5" s="8">
        <v>1063.0</v>
      </c>
      <c r="I5" s="8">
        <v>1080.0</v>
      </c>
      <c r="J5" s="8">
        <v>0.0</v>
      </c>
      <c r="K5" s="8">
        <v>0.0</v>
      </c>
      <c r="L5" s="13">
        <v>1.0</v>
      </c>
    </row>
    <row r="6" ht="22.5" customHeight="1">
      <c r="A6" s="4">
        <v>2.5557301E7</v>
      </c>
      <c r="B6" s="5" t="s">
        <v>381</v>
      </c>
      <c r="C6" s="5" t="s">
        <v>382</v>
      </c>
      <c r="D6" s="7">
        <v>30409.0</v>
      </c>
      <c r="E6" s="8">
        <v>1053.0</v>
      </c>
      <c r="F6" s="8">
        <v>0.0</v>
      </c>
      <c r="G6" s="8">
        <v>0.0</v>
      </c>
      <c r="H6" s="8">
        <v>756.0</v>
      </c>
      <c r="I6" s="8">
        <v>1053.0</v>
      </c>
      <c r="J6" s="8">
        <v>0.0</v>
      </c>
      <c r="K6" s="8">
        <v>0.0</v>
      </c>
      <c r="L6" s="13">
        <v>1.0</v>
      </c>
    </row>
    <row r="7" ht="22.5" customHeight="1">
      <c r="A7" s="4">
        <v>2.6180778E7</v>
      </c>
      <c r="B7" s="5" t="s">
        <v>386</v>
      </c>
      <c r="C7" s="5" t="s">
        <v>388</v>
      </c>
      <c r="D7" s="7">
        <v>36365.0</v>
      </c>
      <c r="E7" s="8">
        <v>596.0</v>
      </c>
      <c r="F7" s="8">
        <v>0.0</v>
      </c>
      <c r="G7" s="8">
        <v>0.0</v>
      </c>
      <c r="H7" s="8">
        <v>2.0</v>
      </c>
      <c r="I7" s="8">
        <v>596.0</v>
      </c>
      <c r="J7" s="8">
        <v>0.0</v>
      </c>
      <c r="K7" s="8">
        <v>0.0</v>
      </c>
      <c r="L7" s="13">
        <v>1.0</v>
      </c>
    </row>
    <row r="8" ht="22.5" customHeight="1">
      <c r="A8" s="4">
        <v>3.6461987E7</v>
      </c>
      <c r="B8" s="5" t="s">
        <v>391</v>
      </c>
      <c r="C8" s="5" t="s">
        <v>392</v>
      </c>
      <c r="D8" s="7">
        <v>19789.0</v>
      </c>
      <c r="E8" s="8">
        <v>391.0</v>
      </c>
      <c r="F8" s="8">
        <v>0.0</v>
      </c>
      <c r="G8" s="8">
        <v>0.0</v>
      </c>
      <c r="H8" s="8">
        <v>349.0</v>
      </c>
      <c r="I8" s="8">
        <v>391.0</v>
      </c>
      <c r="J8" s="8">
        <v>0.0</v>
      </c>
      <c r="K8" s="8">
        <v>0.0</v>
      </c>
      <c r="L8" s="13">
        <v>1.0</v>
      </c>
    </row>
    <row r="9" ht="22.5" customHeight="1">
      <c r="A9" s="4">
        <v>4.3851105E7</v>
      </c>
      <c r="B9" s="5" t="s">
        <v>396</v>
      </c>
      <c r="C9" s="5" t="s">
        <v>397</v>
      </c>
      <c r="D9" s="7">
        <v>3957.0</v>
      </c>
      <c r="E9" s="8">
        <v>176.0</v>
      </c>
      <c r="F9" s="8">
        <v>0.0</v>
      </c>
      <c r="G9" s="8">
        <v>0.0</v>
      </c>
      <c r="H9" s="8">
        <v>157.0</v>
      </c>
      <c r="I9" s="8">
        <v>176.0</v>
      </c>
      <c r="J9" s="8">
        <v>0.0</v>
      </c>
      <c r="K9" s="8">
        <v>0.0</v>
      </c>
      <c r="L9" s="13">
        <v>1.0</v>
      </c>
    </row>
    <row r="10" ht="22.5" customHeight="1">
      <c r="A10" s="4">
        <v>2219694.0</v>
      </c>
      <c r="B10" s="5" t="s">
        <v>399</v>
      </c>
      <c r="C10" s="5" t="s">
        <v>401</v>
      </c>
      <c r="D10" s="7">
        <v>67306.0</v>
      </c>
      <c r="E10" s="8">
        <v>50.0</v>
      </c>
      <c r="F10" s="8">
        <v>0.0</v>
      </c>
      <c r="G10" s="8">
        <v>0.0</v>
      </c>
      <c r="H10" s="8">
        <v>50.0</v>
      </c>
      <c r="I10" s="8">
        <v>50.0</v>
      </c>
      <c r="J10" s="8">
        <v>0.0</v>
      </c>
      <c r="K10" s="8">
        <v>0.0</v>
      </c>
      <c r="L10" s="13">
        <v>1.0</v>
      </c>
    </row>
    <row r="11" ht="22.5" customHeight="1">
      <c r="A11" s="4">
        <v>2219731.0</v>
      </c>
      <c r="B11" s="5" t="s">
        <v>403</v>
      </c>
      <c r="C11" s="5" t="s">
        <v>404</v>
      </c>
      <c r="D11" s="7">
        <v>36302.0</v>
      </c>
      <c r="E11" s="8">
        <v>44.0</v>
      </c>
      <c r="F11" s="8">
        <v>0.0</v>
      </c>
      <c r="G11" s="8">
        <v>0.0</v>
      </c>
      <c r="H11" s="8">
        <v>0.0</v>
      </c>
      <c r="I11" s="8">
        <v>43.0</v>
      </c>
      <c r="J11" s="8">
        <v>0.0</v>
      </c>
      <c r="K11" s="8">
        <v>1.0</v>
      </c>
      <c r="L11" s="13">
        <v>1.0</v>
      </c>
    </row>
    <row r="12" ht="22.5" customHeight="1">
      <c r="A12" s="4">
        <v>2219659.0</v>
      </c>
      <c r="B12" s="5" t="s">
        <v>409</v>
      </c>
      <c r="C12" s="5" t="s">
        <v>410</v>
      </c>
      <c r="D12" s="7">
        <v>22415.0</v>
      </c>
      <c r="E12" s="8">
        <v>33.0</v>
      </c>
      <c r="F12" s="8">
        <v>0.0</v>
      </c>
      <c r="G12" s="8">
        <v>0.0</v>
      </c>
      <c r="H12" s="8">
        <v>0.0</v>
      </c>
      <c r="I12" s="8">
        <v>33.0</v>
      </c>
      <c r="J12" s="8">
        <v>0.0</v>
      </c>
      <c r="K12" s="8">
        <v>0.0</v>
      </c>
      <c r="L12" s="13">
        <v>1.0</v>
      </c>
    </row>
    <row r="13" ht="22.5" customHeight="1">
      <c r="A13" s="4">
        <v>2.0842451E7</v>
      </c>
      <c r="B13" s="5" t="s">
        <v>413</v>
      </c>
      <c r="C13" s="5" t="s">
        <v>415</v>
      </c>
      <c r="D13" s="7">
        <v>79789.0</v>
      </c>
      <c r="E13" s="8">
        <v>24.0</v>
      </c>
      <c r="F13" s="8">
        <v>0.0</v>
      </c>
      <c r="G13" s="8">
        <v>0.0</v>
      </c>
      <c r="H13" s="8">
        <v>0.0</v>
      </c>
      <c r="I13" s="8">
        <v>24.0</v>
      </c>
      <c r="J13" s="8">
        <v>0.0</v>
      </c>
      <c r="K13" s="8">
        <v>0.0</v>
      </c>
      <c r="L13" s="13">
        <v>1.0</v>
      </c>
    </row>
    <row r="14" ht="22.5" customHeight="1">
      <c r="A14" s="4">
        <v>4.5128777E7</v>
      </c>
      <c r="B14" s="5" t="s">
        <v>417</v>
      </c>
      <c r="C14" s="5" t="s">
        <v>418</v>
      </c>
      <c r="D14" s="7">
        <v>1163.0</v>
      </c>
      <c r="E14" s="8">
        <v>21.0</v>
      </c>
      <c r="F14" s="8">
        <v>0.0</v>
      </c>
      <c r="G14" s="8">
        <v>0.0</v>
      </c>
      <c r="H14" s="8">
        <v>0.0</v>
      </c>
      <c r="I14" s="8">
        <v>21.0</v>
      </c>
      <c r="J14" s="8">
        <v>0.0</v>
      </c>
      <c r="K14" s="8">
        <v>0.0</v>
      </c>
      <c r="L14" s="18"/>
    </row>
    <row r="15" ht="22.5" customHeight="1">
      <c r="A15" s="4">
        <v>3534452.0</v>
      </c>
      <c r="B15" s="5" t="s">
        <v>423</v>
      </c>
      <c r="C15" s="5" t="s">
        <v>424</v>
      </c>
      <c r="D15" s="7">
        <v>388718.0</v>
      </c>
      <c r="E15" s="8">
        <v>8.0</v>
      </c>
      <c r="F15" s="8">
        <v>0.0</v>
      </c>
      <c r="G15" s="8">
        <v>0.0</v>
      </c>
      <c r="H15" s="8">
        <v>7.0</v>
      </c>
      <c r="I15" s="8">
        <v>8.0</v>
      </c>
      <c r="J15" s="8">
        <v>0.0</v>
      </c>
      <c r="K15" s="8">
        <v>0.0</v>
      </c>
      <c r="L15" s="13">
        <v>1.0</v>
      </c>
    </row>
    <row r="16" ht="22.5" customHeight="1">
      <c r="A16" s="4">
        <v>3.1755754E7</v>
      </c>
      <c r="B16" s="5" t="s">
        <v>428</v>
      </c>
      <c r="C16" s="5" t="s">
        <v>430</v>
      </c>
      <c r="D16" s="8">
        <v>5314.0</v>
      </c>
      <c r="E16" s="8">
        <v>8.0</v>
      </c>
      <c r="F16" s="8">
        <v>5306.0</v>
      </c>
      <c r="G16" s="8">
        <v>0.15</v>
      </c>
      <c r="H16" s="8">
        <v>1.0</v>
      </c>
      <c r="I16" s="8">
        <v>8.0</v>
      </c>
      <c r="J16" s="8">
        <v>0.0</v>
      </c>
      <c r="K16" s="8">
        <v>0.0</v>
      </c>
      <c r="L16" s="13">
        <v>1.0</v>
      </c>
    </row>
    <row r="17" ht="22.5" customHeight="1">
      <c r="A17" s="4">
        <v>2223721.0</v>
      </c>
      <c r="B17" s="5" t="s">
        <v>431</v>
      </c>
      <c r="C17" s="5" t="s">
        <v>432</v>
      </c>
      <c r="D17" s="7">
        <v>59081.0</v>
      </c>
      <c r="E17" s="8">
        <v>5.0</v>
      </c>
      <c r="F17" s="8">
        <v>0.0</v>
      </c>
      <c r="G17" s="8">
        <v>0.0</v>
      </c>
      <c r="H17" s="8">
        <v>0.0</v>
      </c>
      <c r="I17" s="8">
        <v>5.0</v>
      </c>
      <c r="J17" s="8">
        <v>0.0</v>
      </c>
      <c r="K17" s="8">
        <v>0.0</v>
      </c>
      <c r="L17" s="13">
        <v>1.0</v>
      </c>
    </row>
    <row r="18" ht="22.5" customHeight="1">
      <c r="A18" s="4">
        <v>2.6269366E7</v>
      </c>
      <c r="B18" s="5" t="s">
        <v>437</v>
      </c>
      <c r="C18" s="5" t="s">
        <v>438</v>
      </c>
      <c r="D18" s="8">
        <v>600.0</v>
      </c>
      <c r="E18" s="8">
        <v>1.0</v>
      </c>
      <c r="F18" s="8">
        <v>599.0</v>
      </c>
      <c r="G18" s="8">
        <v>0.17</v>
      </c>
      <c r="H18" s="8">
        <v>0.0</v>
      </c>
      <c r="I18" s="8">
        <v>1.0</v>
      </c>
      <c r="J18" s="8">
        <v>0.0</v>
      </c>
      <c r="K18" s="8">
        <v>0.0</v>
      </c>
      <c r="L18" s="13">
        <v>1.0</v>
      </c>
    </row>
    <row r="19" ht="22.5" customHeight="1">
      <c r="A19" s="4">
        <v>2223738.0</v>
      </c>
      <c r="B19" s="5" t="s">
        <v>442</v>
      </c>
      <c r="C19" s="5" t="s">
        <v>443</v>
      </c>
      <c r="D19" s="7">
        <v>37317.0</v>
      </c>
      <c r="E19" s="8">
        <v>1.0</v>
      </c>
      <c r="F19" s="8">
        <v>0.0</v>
      </c>
      <c r="G19" s="8">
        <v>0.0</v>
      </c>
      <c r="H19" s="8">
        <v>0.0</v>
      </c>
      <c r="I19" s="8">
        <v>1.0</v>
      </c>
      <c r="J19" s="8">
        <v>0.0</v>
      </c>
      <c r="K19" s="8">
        <v>0.0</v>
      </c>
      <c r="L19" s="13">
        <v>1.0</v>
      </c>
    </row>
    <row r="20" ht="22.5" customHeight="1">
      <c r="A20" s="4">
        <v>3.7942964E7</v>
      </c>
      <c r="B20" s="5" t="s">
        <v>445</v>
      </c>
      <c r="C20" s="5" t="s">
        <v>446</v>
      </c>
      <c r="D20" s="8">
        <v>0.0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13">
        <v>1.0</v>
      </c>
    </row>
    <row r="21" ht="22.5" customHeight="1">
      <c r="A21" s="4">
        <v>3.6848209E7</v>
      </c>
      <c r="B21" s="5" t="s">
        <v>451</v>
      </c>
      <c r="C21" s="5" t="s">
        <v>452</v>
      </c>
      <c r="D21" s="7">
        <v>822.0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13">
        <v>1.0</v>
      </c>
    </row>
    <row r="22" ht="22.5" customHeight="1">
      <c r="A22" s="4">
        <v>1.380723E7</v>
      </c>
      <c r="B22" s="5" t="s">
        <v>454</v>
      </c>
      <c r="C22" s="5" t="s">
        <v>456</v>
      </c>
      <c r="D22" s="7">
        <v>15700.0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13">
        <v>1.0</v>
      </c>
    </row>
    <row r="23" ht="22.5" customHeight="1">
      <c r="A23" s="4">
        <v>4.0134482E7</v>
      </c>
      <c r="B23" s="5" t="s">
        <v>459</v>
      </c>
      <c r="C23" s="5" t="s">
        <v>460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18"/>
    </row>
    <row r="24" ht="22.5" customHeight="1">
      <c r="A24" s="4">
        <v>4.1819604E7</v>
      </c>
      <c r="B24" s="5" t="s">
        <v>465</v>
      </c>
      <c r="C24" s="5" t="s">
        <v>466</v>
      </c>
      <c r="D24" s="8">
        <v>0.0</v>
      </c>
      <c r="E24" s="8">
        <v>0.0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13">
        <v>1.0</v>
      </c>
    </row>
    <row r="25" ht="22.5" customHeight="1">
      <c r="A25" s="4">
        <v>2223750.0</v>
      </c>
      <c r="B25" s="5" t="s">
        <v>467</v>
      </c>
      <c r="C25" s="5" t="s">
        <v>468</v>
      </c>
      <c r="D25" s="8">
        <v>0.0</v>
      </c>
      <c r="E25" s="8">
        <v>0.0</v>
      </c>
      <c r="F25" s="8">
        <v>0.0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13">
        <v>1.0</v>
      </c>
    </row>
    <row r="26" ht="22.5" customHeight="1">
      <c r="A26" s="4">
        <v>3.6808695E7</v>
      </c>
      <c r="B26" s="5" t="s">
        <v>473</v>
      </c>
      <c r="C26" s="5" t="s">
        <v>474</v>
      </c>
      <c r="D26" s="8">
        <v>0.0</v>
      </c>
      <c r="E26" s="8">
        <v>0.0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  <c r="L26" s="13">
        <v>1.0</v>
      </c>
    </row>
    <row r="27" ht="22.5" customHeight="1">
      <c r="A27" s="31" t="s">
        <v>123</v>
      </c>
      <c r="B27" s="32"/>
      <c r="C27" s="32"/>
      <c r="D27" s="34">
        <f t="shared" ref="D27:L27" si="1">SUM(D2:D26)</f>
        <v>1161852</v>
      </c>
      <c r="E27" s="34">
        <f t="shared" si="1"/>
        <v>11848</v>
      </c>
      <c r="F27" s="34">
        <f t="shared" si="1"/>
        <v>5905</v>
      </c>
      <c r="G27" s="34">
        <f t="shared" si="1"/>
        <v>0.32</v>
      </c>
      <c r="H27" s="34">
        <f t="shared" si="1"/>
        <v>8663</v>
      </c>
      <c r="I27" s="34">
        <f t="shared" si="1"/>
        <v>10835</v>
      </c>
      <c r="J27" s="34">
        <f t="shared" si="1"/>
        <v>907</v>
      </c>
      <c r="K27" s="34">
        <f t="shared" si="1"/>
        <v>1013</v>
      </c>
      <c r="L27" s="34">
        <f t="shared" si="1"/>
        <v>23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</sheetData>
  <dataValidations>
    <dataValidation type="custom" allowBlank="1" showDropDown="1" sqref="A2:A27 D2:K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0.75"/>
    <col customWidth="1" min="3" max="3" width="22.38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8.0"/>
    <col customWidth="1" min="9" max="9" width="15.75"/>
    <col customWidth="1" min="10" max="10" width="17.88"/>
    <col customWidth="1" min="11" max="11" width="15.75"/>
    <col customWidth="1" min="12" max="12" width="1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4">
        <v>5534216.0</v>
      </c>
      <c r="B2" s="5" t="s">
        <v>373</v>
      </c>
      <c r="C2" s="5" t="s">
        <v>374</v>
      </c>
      <c r="D2" s="8">
        <v>400000.0</v>
      </c>
      <c r="E2" s="8">
        <v>1061.0</v>
      </c>
      <c r="F2" s="8">
        <v>398939.0</v>
      </c>
      <c r="G2" s="8">
        <v>0.27</v>
      </c>
      <c r="H2" s="8">
        <v>1035.0</v>
      </c>
      <c r="I2" s="8">
        <v>1061.0</v>
      </c>
      <c r="J2" s="8">
        <v>0.0</v>
      </c>
      <c r="K2" s="8">
        <v>0.0</v>
      </c>
      <c r="L2" s="13">
        <v>1.0</v>
      </c>
    </row>
    <row r="3" ht="22.5" customHeight="1">
      <c r="A3" s="4">
        <v>2223767.0</v>
      </c>
      <c r="B3" s="5" t="s">
        <v>387</v>
      </c>
      <c r="C3" s="5" t="s">
        <v>390</v>
      </c>
      <c r="D3" s="7">
        <v>19116.0</v>
      </c>
      <c r="E3" s="8">
        <v>733.0</v>
      </c>
      <c r="F3" s="8">
        <v>0.0</v>
      </c>
      <c r="G3" s="8">
        <v>0.0</v>
      </c>
      <c r="H3" s="8">
        <v>733.0</v>
      </c>
      <c r="I3" s="8">
        <v>733.0</v>
      </c>
      <c r="J3" s="8">
        <v>0.0</v>
      </c>
      <c r="K3" s="8">
        <v>0.0</v>
      </c>
      <c r="L3" s="13">
        <v>1.0</v>
      </c>
    </row>
    <row r="4" ht="22.5" customHeight="1">
      <c r="A4" s="4">
        <v>3.6363741E7</v>
      </c>
      <c r="B4" s="5" t="s">
        <v>395</v>
      </c>
      <c r="C4" s="5" t="s">
        <v>398</v>
      </c>
      <c r="D4" s="7">
        <v>1028.0</v>
      </c>
      <c r="E4" s="8">
        <v>532.0</v>
      </c>
      <c r="F4" s="8">
        <v>0.0</v>
      </c>
      <c r="G4" s="8">
        <v>0.0</v>
      </c>
      <c r="H4" s="8">
        <v>532.0</v>
      </c>
      <c r="I4" s="8">
        <v>532.0</v>
      </c>
      <c r="J4" s="8">
        <v>0.0</v>
      </c>
      <c r="K4" s="8">
        <v>0.0</v>
      </c>
      <c r="L4" s="13">
        <v>1.0</v>
      </c>
    </row>
    <row r="5" ht="22.5" customHeight="1">
      <c r="A5" s="4">
        <v>2.6445298E7</v>
      </c>
      <c r="B5" s="5" t="s">
        <v>405</v>
      </c>
      <c r="C5" s="5" t="s">
        <v>406</v>
      </c>
      <c r="D5" s="7">
        <v>4353.0</v>
      </c>
      <c r="E5" s="8">
        <v>95.0</v>
      </c>
      <c r="F5" s="8">
        <v>0.0</v>
      </c>
      <c r="G5" s="8">
        <v>0.0</v>
      </c>
      <c r="H5" s="8">
        <v>79.0</v>
      </c>
      <c r="I5" s="8">
        <v>95.0</v>
      </c>
      <c r="J5" s="8">
        <v>0.0</v>
      </c>
      <c r="K5" s="7">
        <v>0.0</v>
      </c>
      <c r="L5" s="13">
        <v>1.0</v>
      </c>
    </row>
    <row r="6" ht="22.5" customHeight="1">
      <c r="A6" s="4">
        <v>3.9028332E7</v>
      </c>
      <c r="B6" s="5" t="s">
        <v>411</v>
      </c>
      <c r="C6" s="5" t="s">
        <v>412</v>
      </c>
      <c r="D6" s="7">
        <v>6000.0</v>
      </c>
      <c r="E6" s="8">
        <v>83.0</v>
      </c>
      <c r="F6" s="8">
        <v>0.0</v>
      </c>
      <c r="G6" s="8">
        <v>0.0</v>
      </c>
      <c r="H6" s="8">
        <v>81.0</v>
      </c>
      <c r="I6" s="8">
        <v>83.0</v>
      </c>
      <c r="J6" s="8">
        <v>0.0</v>
      </c>
      <c r="K6" s="8">
        <v>0.0</v>
      </c>
      <c r="L6" s="13">
        <v>1.0</v>
      </c>
    </row>
    <row r="7" ht="22.5" customHeight="1">
      <c r="A7" s="4">
        <v>2.6446302E7</v>
      </c>
      <c r="B7" s="5" t="s">
        <v>419</v>
      </c>
      <c r="C7" s="5" t="s">
        <v>420</v>
      </c>
      <c r="D7" s="7">
        <v>71.0</v>
      </c>
      <c r="E7" s="8">
        <v>47.0</v>
      </c>
      <c r="F7" s="8">
        <v>0.0</v>
      </c>
      <c r="G7" s="8">
        <v>0.0</v>
      </c>
      <c r="H7" s="8">
        <v>0.0</v>
      </c>
      <c r="I7" s="8">
        <v>47.0</v>
      </c>
      <c r="J7" s="8">
        <v>0.0</v>
      </c>
      <c r="K7" s="8">
        <v>0.0</v>
      </c>
      <c r="L7" s="13">
        <v>1.0</v>
      </c>
    </row>
    <row r="8" ht="22.5" customHeight="1">
      <c r="A8" s="4">
        <v>3.6396206E7</v>
      </c>
      <c r="B8" s="5" t="s">
        <v>425</v>
      </c>
      <c r="C8" s="5" t="s">
        <v>426</v>
      </c>
      <c r="D8" s="7">
        <v>2262.0</v>
      </c>
      <c r="E8" s="8">
        <v>11.0</v>
      </c>
      <c r="F8" s="8">
        <v>0.0</v>
      </c>
      <c r="G8" s="8">
        <v>0.0</v>
      </c>
      <c r="H8" s="8">
        <v>7.0</v>
      </c>
      <c r="I8" s="8">
        <v>11.0</v>
      </c>
      <c r="J8" s="8">
        <v>0.0</v>
      </c>
      <c r="K8" s="8">
        <v>0.0</v>
      </c>
      <c r="L8" s="13">
        <v>1.0</v>
      </c>
    </row>
    <row r="9" ht="22.5" customHeight="1">
      <c r="A9" s="4">
        <v>3.6743518E7</v>
      </c>
      <c r="B9" s="5" t="s">
        <v>433</v>
      </c>
      <c r="C9" s="5" t="s">
        <v>434</v>
      </c>
      <c r="D9" s="7">
        <v>2090.0</v>
      </c>
      <c r="E9" s="8">
        <v>1.0</v>
      </c>
      <c r="F9" s="8">
        <v>0.0</v>
      </c>
      <c r="G9" s="8">
        <v>0.0</v>
      </c>
      <c r="H9" s="8">
        <v>0.0</v>
      </c>
      <c r="I9" s="8">
        <v>1.0</v>
      </c>
      <c r="J9" s="8">
        <v>0.0</v>
      </c>
      <c r="K9" s="8">
        <v>0.0</v>
      </c>
      <c r="L9" s="13">
        <v>1.0</v>
      </c>
    </row>
    <row r="10" ht="22.5" customHeight="1">
      <c r="A10" s="4">
        <v>4.5901189E7</v>
      </c>
      <c r="B10" s="5" t="s">
        <v>439</v>
      </c>
      <c r="C10" s="5" t="s">
        <v>440</v>
      </c>
      <c r="D10" s="8">
        <v>3600.0</v>
      </c>
      <c r="E10" s="8">
        <v>1.0</v>
      </c>
      <c r="F10" s="8">
        <v>3599.0</v>
      </c>
      <c r="G10" s="8">
        <v>0.03</v>
      </c>
      <c r="H10" s="8">
        <v>0.0</v>
      </c>
      <c r="I10" s="8">
        <v>1.0</v>
      </c>
      <c r="J10" s="8">
        <v>0.0</v>
      </c>
      <c r="K10" s="8">
        <v>0.0</v>
      </c>
      <c r="L10" s="18"/>
    </row>
    <row r="11" ht="22.5" customHeight="1">
      <c r="A11" s="4">
        <v>3.8770915E7</v>
      </c>
      <c r="B11" s="5" t="s">
        <v>447</v>
      </c>
      <c r="C11" s="5" t="s">
        <v>448</v>
      </c>
      <c r="D11" s="8">
        <v>0.0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13">
        <v>1.0</v>
      </c>
    </row>
    <row r="12" ht="22.5" customHeight="1">
      <c r="A12" s="31" t="s">
        <v>123</v>
      </c>
      <c r="B12" s="32"/>
      <c r="C12" s="32"/>
      <c r="D12" s="34">
        <f t="shared" ref="D12:L12" si="1">SUM(D2:D11)</f>
        <v>438520</v>
      </c>
      <c r="E12" s="34">
        <f t="shared" si="1"/>
        <v>2564</v>
      </c>
      <c r="F12" s="34">
        <f t="shared" si="1"/>
        <v>402538</v>
      </c>
      <c r="G12" s="34">
        <f t="shared" si="1"/>
        <v>0.3</v>
      </c>
      <c r="H12" s="34">
        <f t="shared" si="1"/>
        <v>2467</v>
      </c>
      <c r="I12" s="34">
        <f t="shared" si="1"/>
        <v>2564</v>
      </c>
      <c r="J12" s="34">
        <f t="shared" si="1"/>
        <v>0</v>
      </c>
      <c r="K12" s="34">
        <f t="shared" si="1"/>
        <v>0</v>
      </c>
      <c r="L12" s="34">
        <f t="shared" si="1"/>
        <v>9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</sheetData>
  <dataValidations>
    <dataValidation type="custom" allowBlank="1" showDropDown="1" sqref="A2:A12 D2:K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9.63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4">
        <v>2223810.0</v>
      </c>
      <c r="B2" s="5" t="s">
        <v>453</v>
      </c>
      <c r="C2" s="5" t="s">
        <v>455</v>
      </c>
      <c r="D2" s="7">
        <v>10855.0</v>
      </c>
      <c r="E2" s="8">
        <v>7674.0</v>
      </c>
      <c r="F2" s="8">
        <v>0.0</v>
      </c>
      <c r="G2" s="8">
        <v>0.0</v>
      </c>
      <c r="H2" s="8">
        <v>7510.0</v>
      </c>
      <c r="I2" s="8">
        <v>7671.0</v>
      </c>
      <c r="J2" s="8">
        <v>3.0</v>
      </c>
      <c r="K2" s="8">
        <v>3.0</v>
      </c>
      <c r="L2" s="37">
        <v>1.0</v>
      </c>
    </row>
    <row r="3" ht="22.5" customHeight="1">
      <c r="A3" s="4">
        <v>3534765.0</v>
      </c>
      <c r="B3" s="5" t="s">
        <v>461</v>
      </c>
      <c r="C3" s="5" t="s">
        <v>463</v>
      </c>
      <c r="D3" s="8">
        <v>0.0</v>
      </c>
      <c r="E3" s="8">
        <v>6701.0</v>
      </c>
      <c r="F3" s="8">
        <v>0.0</v>
      </c>
      <c r="G3" s="8">
        <v>0.0</v>
      </c>
      <c r="H3" s="8">
        <v>6017.0</v>
      </c>
      <c r="I3" s="8">
        <v>6701.0</v>
      </c>
      <c r="J3" s="8">
        <v>0.0</v>
      </c>
      <c r="K3" s="8">
        <v>0.0</v>
      </c>
      <c r="L3" s="37">
        <v>1.0</v>
      </c>
    </row>
    <row r="4" ht="22.5" customHeight="1">
      <c r="A4" s="4">
        <v>1.9054547E7</v>
      </c>
      <c r="B4" s="5" t="s">
        <v>469</v>
      </c>
      <c r="C4" s="5" t="s">
        <v>471</v>
      </c>
      <c r="D4" s="8">
        <v>10477.0</v>
      </c>
      <c r="E4" s="8">
        <v>3005.0</v>
      </c>
      <c r="F4" s="8">
        <v>7472.0</v>
      </c>
      <c r="G4" s="8">
        <v>28.68</v>
      </c>
      <c r="H4" s="8">
        <v>3002.0</v>
      </c>
      <c r="I4" s="8">
        <v>3005.0</v>
      </c>
      <c r="J4" s="8">
        <v>0.0</v>
      </c>
      <c r="K4" s="8">
        <v>0.0</v>
      </c>
      <c r="L4" s="37">
        <v>1.0</v>
      </c>
    </row>
    <row r="5" ht="22.5" customHeight="1">
      <c r="A5" s="4">
        <v>3.685586E7</v>
      </c>
      <c r="B5" s="5" t="s">
        <v>475</v>
      </c>
      <c r="C5" s="5" t="s">
        <v>476</v>
      </c>
      <c r="D5" s="7">
        <v>8427.0</v>
      </c>
      <c r="E5" s="8">
        <v>2206.0</v>
      </c>
      <c r="F5" s="8">
        <v>0.0</v>
      </c>
      <c r="G5" s="8">
        <v>0.0</v>
      </c>
      <c r="H5" s="8">
        <v>2206.0</v>
      </c>
      <c r="I5" s="8">
        <v>2206.0</v>
      </c>
      <c r="J5" s="8">
        <v>0.0</v>
      </c>
      <c r="K5" s="8">
        <v>0.0</v>
      </c>
      <c r="L5" s="42"/>
    </row>
    <row r="6" ht="22.5" customHeight="1">
      <c r="A6" s="4">
        <v>3.8184639E7</v>
      </c>
      <c r="B6" s="5" t="s">
        <v>479</v>
      </c>
      <c r="C6" s="5" t="s">
        <v>480</v>
      </c>
      <c r="D6" s="7">
        <v>4924.0</v>
      </c>
      <c r="E6" s="8">
        <v>1929.0</v>
      </c>
      <c r="F6" s="8">
        <v>0.0</v>
      </c>
      <c r="G6" s="8">
        <v>0.0</v>
      </c>
      <c r="H6" s="8">
        <v>1593.0</v>
      </c>
      <c r="I6" s="8">
        <v>1929.0</v>
      </c>
      <c r="J6" s="8">
        <v>0.0</v>
      </c>
      <c r="K6" s="8">
        <v>0.0</v>
      </c>
      <c r="L6" s="37">
        <v>1.0</v>
      </c>
    </row>
    <row r="7" ht="22.5" customHeight="1">
      <c r="A7" s="4">
        <v>2223804.0</v>
      </c>
      <c r="B7" s="5" t="s">
        <v>481</v>
      </c>
      <c r="C7" s="5" t="s">
        <v>482</v>
      </c>
      <c r="D7" s="7">
        <v>9576.0</v>
      </c>
      <c r="E7" s="8">
        <v>1913.0</v>
      </c>
      <c r="F7" s="8">
        <v>0.0</v>
      </c>
      <c r="G7" s="8">
        <v>0.0</v>
      </c>
      <c r="H7" s="8">
        <v>1771.0</v>
      </c>
      <c r="I7" s="8">
        <v>1830.0</v>
      </c>
      <c r="J7" s="8">
        <v>83.0</v>
      </c>
      <c r="K7" s="8">
        <v>83.0</v>
      </c>
      <c r="L7" s="37">
        <v>1.0</v>
      </c>
    </row>
    <row r="8" ht="22.5" customHeight="1">
      <c r="A8" s="4">
        <v>3.9206658E7</v>
      </c>
      <c r="B8" s="5" t="s">
        <v>483</v>
      </c>
      <c r="C8" s="5" t="s">
        <v>484</v>
      </c>
      <c r="D8" s="7">
        <v>72873.0</v>
      </c>
      <c r="E8" s="8">
        <v>1552.0</v>
      </c>
      <c r="F8" s="8">
        <v>0.0</v>
      </c>
      <c r="G8" s="8">
        <v>0.0</v>
      </c>
      <c r="H8" s="8">
        <v>1512.0</v>
      </c>
      <c r="I8" s="8">
        <v>1552.0</v>
      </c>
      <c r="J8" s="8">
        <v>0.0</v>
      </c>
      <c r="K8" s="8">
        <v>0.0</v>
      </c>
      <c r="L8" s="37">
        <v>1.0</v>
      </c>
    </row>
    <row r="9" ht="22.5" customHeight="1">
      <c r="A9" s="4">
        <v>2.098673E7</v>
      </c>
      <c r="B9" s="5" t="s">
        <v>485</v>
      </c>
      <c r="C9" s="5" t="s">
        <v>486</v>
      </c>
      <c r="D9" s="8">
        <v>0.0</v>
      </c>
      <c r="E9" s="8">
        <v>1549.0</v>
      </c>
      <c r="F9" s="8">
        <v>0.0</v>
      </c>
      <c r="G9" s="8">
        <v>0.0</v>
      </c>
      <c r="H9" s="8">
        <v>1490.0</v>
      </c>
      <c r="I9" s="8">
        <v>1549.0</v>
      </c>
      <c r="J9" s="8">
        <v>0.0</v>
      </c>
      <c r="K9" s="8">
        <v>0.0</v>
      </c>
      <c r="L9" s="37">
        <v>1.0</v>
      </c>
    </row>
    <row r="10" ht="22.5" customHeight="1">
      <c r="A10" s="4">
        <v>4.429407E7</v>
      </c>
      <c r="B10" s="5" t="s">
        <v>489</v>
      </c>
      <c r="C10" s="5" t="s">
        <v>490</v>
      </c>
      <c r="D10" s="8">
        <v>3437.0</v>
      </c>
      <c r="E10" s="8">
        <v>1164.0</v>
      </c>
      <c r="F10" s="8">
        <v>2273.0</v>
      </c>
      <c r="G10" s="8">
        <v>33.87</v>
      </c>
      <c r="H10" s="8">
        <v>1163.0</v>
      </c>
      <c r="I10" s="8">
        <v>1164.0</v>
      </c>
      <c r="J10" s="8">
        <v>0.0</v>
      </c>
      <c r="K10" s="8">
        <v>0.0</v>
      </c>
      <c r="L10" s="42"/>
    </row>
    <row r="11" ht="22.5" customHeight="1">
      <c r="A11" s="4">
        <v>3.5243445E7</v>
      </c>
      <c r="B11" s="5" t="s">
        <v>493</v>
      </c>
      <c r="C11" s="5" t="s">
        <v>494</v>
      </c>
      <c r="D11" s="8">
        <v>4780.0</v>
      </c>
      <c r="E11" s="8">
        <v>1111.0</v>
      </c>
      <c r="F11" s="8">
        <v>3669.0</v>
      </c>
      <c r="G11" s="8">
        <v>23.24</v>
      </c>
      <c r="H11" s="8">
        <v>1034.0</v>
      </c>
      <c r="I11" s="8">
        <v>1111.0</v>
      </c>
      <c r="J11" s="8">
        <v>0.0</v>
      </c>
      <c r="K11" s="8">
        <v>0.0</v>
      </c>
      <c r="L11" s="37">
        <v>1.0</v>
      </c>
    </row>
    <row r="12" ht="22.5" customHeight="1">
      <c r="A12" s="4">
        <v>2.0953156E7</v>
      </c>
      <c r="B12" s="5" t="s">
        <v>497</v>
      </c>
      <c r="C12" s="5" t="s">
        <v>498</v>
      </c>
      <c r="D12" s="7">
        <v>42250.0</v>
      </c>
      <c r="E12" s="8">
        <v>1087.0</v>
      </c>
      <c r="F12" s="8">
        <v>0.0</v>
      </c>
      <c r="G12" s="8">
        <v>0.0</v>
      </c>
      <c r="H12" s="8">
        <v>1001.0</v>
      </c>
      <c r="I12" s="8">
        <v>1025.0</v>
      </c>
      <c r="J12" s="8">
        <v>62.0</v>
      </c>
      <c r="K12" s="8">
        <v>62.0</v>
      </c>
      <c r="L12" s="37">
        <v>1.0</v>
      </c>
    </row>
    <row r="13" ht="22.5" customHeight="1">
      <c r="A13" s="4">
        <v>2223783.0</v>
      </c>
      <c r="B13" s="5" t="s">
        <v>503</v>
      </c>
      <c r="C13" s="5" t="s">
        <v>504</v>
      </c>
      <c r="D13" s="7">
        <v>36656.0</v>
      </c>
      <c r="E13" s="8">
        <v>1005.0</v>
      </c>
      <c r="F13" s="8">
        <v>0.0</v>
      </c>
      <c r="G13" s="8">
        <v>0.0</v>
      </c>
      <c r="H13" s="8">
        <v>1003.0</v>
      </c>
      <c r="I13" s="8">
        <v>1005.0</v>
      </c>
      <c r="J13" s="8">
        <v>0.0</v>
      </c>
      <c r="K13" s="8">
        <v>0.0</v>
      </c>
      <c r="L13" s="37">
        <v>1.0</v>
      </c>
    </row>
    <row r="14" ht="22.5" customHeight="1">
      <c r="A14" s="4">
        <v>2223773.0</v>
      </c>
      <c r="B14" s="5" t="s">
        <v>509</v>
      </c>
      <c r="C14" s="5" t="s">
        <v>510</v>
      </c>
      <c r="D14" s="7">
        <v>103122.0</v>
      </c>
      <c r="E14" s="8">
        <v>855.0</v>
      </c>
      <c r="F14" s="8">
        <v>0.0</v>
      </c>
      <c r="G14" s="8">
        <v>0.0</v>
      </c>
      <c r="H14" s="8">
        <v>855.0</v>
      </c>
      <c r="I14" s="8">
        <v>855.0</v>
      </c>
      <c r="J14" s="8">
        <v>0.0</v>
      </c>
      <c r="K14" s="8">
        <v>0.0</v>
      </c>
      <c r="L14" s="37">
        <v>1.0</v>
      </c>
    </row>
    <row r="15" ht="22.5" customHeight="1">
      <c r="A15" s="4">
        <v>3.8642378E7</v>
      </c>
      <c r="B15" s="5" t="s">
        <v>515</v>
      </c>
      <c r="C15" s="5" t="s">
        <v>516</v>
      </c>
      <c r="D15" s="7">
        <v>1690.0</v>
      </c>
      <c r="E15" s="8">
        <v>732.0</v>
      </c>
      <c r="F15" s="8">
        <v>0.0</v>
      </c>
      <c r="G15" s="8">
        <v>0.0</v>
      </c>
      <c r="H15" s="8">
        <v>0.0</v>
      </c>
      <c r="I15" s="8">
        <v>732.0</v>
      </c>
      <c r="J15" s="8">
        <v>0.0</v>
      </c>
      <c r="K15" s="8">
        <v>0.0</v>
      </c>
      <c r="L15" s="37">
        <v>1.0</v>
      </c>
    </row>
    <row r="16" ht="22.5" customHeight="1">
      <c r="A16" s="4">
        <v>5534261.0</v>
      </c>
      <c r="B16" s="5" t="s">
        <v>522</v>
      </c>
      <c r="C16" s="5" t="s">
        <v>524</v>
      </c>
      <c r="D16" s="7">
        <v>49552.0</v>
      </c>
      <c r="E16" s="8">
        <v>678.0</v>
      </c>
      <c r="F16" s="8">
        <v>0.0</v>
      </c>
      <c r="G16" s="8">
        <v>0.0</v>
      </c>
      <c r="H16" s="8">
        <v>571.0</v>
      </c>
      <c r="I16" s="8">
        <v>678.0</v>
      </c>
      <c r="J16" s="8">
        <v>0.0</v>
      </c>
      <c r="K16" s="8">
        <v>0.0</v>
      </c>
      <c r="L16" s="37">
        <v>1.0</v>
      </c>
    </row>
    <row r="17" ht="22.5" customHeight="1">
      <c r="A17" s="4">
        <v>4.338102E7</v>
      </c>
      <c r="B17" s="5" t="s">
        <v>528</v>
      </c>
      <c r="C17" s="5" t="s">
        <v>530</v>
      </c>
      <c r="D17" s="7">
        <v>1858.0</v>
      </c>
      <c r="E17" s="8">
        <v>603.0</v>
      </c>
      <c r="F17" s="8">
        <v>0.0</v>
      </c>
      <c r="G17" s="8">
        <v>0.0</v>
      </c>
      <c r="H17" s="8">
        <v>0.0</v>
      </c>
      <c r="I17" s="8">
        <v>603.0</v>
      </c>
      <c r="J17" s="8">
        <v>0.0</v>
      </c>
      <c r="K17" s="8">
        <v>0.0</v>
      </c>
      <c r="L17" s="37">
        <v>1.0</v>
      </c>
    </row>
    <row r="18" ht="22.5" customHeight="1">
      <c r="A18" s="4">
        <v>3.6881225E7</v>
      </c>
      <c r="B18" s="5" t="s">
        <v>536</v>
      </c>
      <c r="C18" s="5" t="s">
        <v>537</v>
      </c>
      <c r="D18" s="8">
        <v>981.0</v>
      </c>
      <c r="E18" s="8">
        <v>589.0</v>
      </c>
      <c r="F18" s="8">
        <v>392.0</v>
      </c>
      <c r="G18" s="8">
        <v>60.04</v>
      </c>
      <c r="H18" s="8">
        <v>588.0</v>
      </c>
      <c r="I18" s="8">
        <v>589.0</v>
      </c>
      <c r="J18" s="8">
        <v>0.0</v>
      </c>
      <c r="K18" s="8">
        <v>0.0</v>
      </c>
      <c r="L18" s="42"/>
    </row>
    <row r="19" ht="22.5" customHeight="1">
      <c r="A19" s="4">
        <v>3.6851803E7</v>
      </c>
      <c r="B19" s="5" t="s">
        <v>545</v>
      </c>
      <c r="C19" s="5" t="s">
        <v>546</v>
      </c>
      <c r="D19" s="7">
        <v>2157.0</v>
      </c>
      <c r="E19" s="8">
        <v>501.0</v>
      </c>
      <c r="F19" s="8">
        <v>0.0</v>
      </c>
      <c r="G19" s="8">
        <v>0.0</v>
      </c>
      <c r="H19" s="8">
        <v>496.0</v>
      </c>
      <c r="I19" s="8">
        <v>501.0</v>
      </c>
      <c r="J19" s="8">
        <v>0.0</v>
      </c>
      <c r="K19" s="8">
        <v>0.0</v>
      </c>
      <c r="L19" s="42"/>
    </row>
    <row r="20" ht="22.5" customHeight="1">
      <c r="A20" s="4">
        <v>3.6804533E7</v>
      </c>
      <c r="B20" s="5" t="s">
        <v>553</v>
      </c>
      <c r="C20" s="5" t="s">
        <v>554</v>
      </c>
      <c r="D20" s="7">
        <v>4106.0</v>
      </c>
      <c r="E20" s="8">
        <v>420.0</v>
      </c>
      <c r="F20" s="8">
        <v>0.0</v>
      </c>
      <c r="G20" s="8">
        <v>0.0</v>
      </c>
      <c r="H20" s="8">
        <v>120.0</v>
      </c>
      <c r="I20" s="8">
        <v>420.0</v>
      </c>
      <c r="J20" s="8">
        <v>0.0</v>
      </c>
      <c r="K20" s="8">
        <v>0.0</v>
      </c>
      <c r="L20" s="37">
        <v>1.0</v>
      </c>
    </row>
    <row r="21" ht="22.5" customHeight="1">
      <c r="A21" s="4">
        <v>3.624929E7</v>
      </c>
      <c r="B21" s="5" t="s">
        <v>562</v>
      </c>
      <c r="C21" s="5" t="s">
        <v>564</v>
      </c>
      <c r="D21" s="7">
        <v>1148.0</v>
      </c>
      <c r="E21" s="8">
        <v>410.0</v>
      </c>
      <c r="F21" s="8">
        <v>0.0</v>
      </c>
      <c r="G21" s="8">
        <v>0.0</v>
      </c>
      <c r="H21" s="8">
        <v>410.0</v>
      </c>
      <c r="I21" s="8">
        <v>410.0</v>
      </c>
      <c r="J21" s="8">
        <v>0.0</v>
      </c>
      <c r="K21" s="8">
        <v>0.0</v>
      </c>
      <c r="L21" s="42"/>
    </row>
    <row r="22" ht="22.5" customHeight="1">
      <c r="A22" s="4">
        <v>4.3485857E7</v>
      </c>
      <c r="B22" s="5" t="s">
        <v>569</v>
      </c>
      <c r="C22" s="5" t="s">
        <v>570</v>
      </c>
      <c r="D22" s="8">
        <v>5415.0</v>
      </c>
      <c r="E22" s="8">
        <v>245.0</v>
      </c>
      <c r="F22" s="8">
        <v>5170.0</v>
      </c>
      <c r="G22" s="8">
        <v>4.52</v>
      </c>
      <c r="H22" s="8">
        <v>241.0</v>
      </c>
      <c r="I22" s="8">
        <v>245.0</v>
      </c>
      <c r="J22" s="8">
        <v>0.0</v>
      </c>
      <c r="K22" s="8">
        <v>0.0</v>
      </c>
      <c r="L22" s="37">
        <v>1.0</v>
      </c>
    </row>
    <row r="23" ht="22.5" customHeight="1">
      <c r="A23" s="4">
        <v>3.3625494E7</v>
      </c>
      <c r="B23" s="5" t="s">
        <v>579</v>
      </c>
      <c r="C23" s="5" t="s">
        <v>580</v>
      </c>
      <c r="D23" s="7">
        <v>6446.0</v>
      </c>
      <c r="E23" s="8">
        <v>179.0</v>
      </c>
      <c r="F23" s="8">
        <v>0.0</v>
      </c>
      <c r="G23" s="8">
        <v>0.0</v>
      </c>
      <c r="H23" s="8">
        <v>178.0</v>
      </c>
      <c r="I23" s="8">
        <v>179.0</v>
      </c>
      <c r="J23" s="8">
        <v>0.0</v>
      </c>
      <c r="K23" s="8">
        <v>0.0</v>
      </c>
      <c r="L23" s="37">
        <v>1.0</v>
      </c>
    </row>
    <row r="24" ht="22.5" customHeight="1">
      <c r="A24" s="4">
        <v>1291011.0</v>
      </c>
      <c r="B24" s="5" t="s">
        <v>587</v>
      </c>
      <c r="C24" s="5" t="s">
        <v>588</v>
      </c>
      <c r="D24" s="8">
        <v>0.0</v>
      </c>
      <c r="E24" s="8">
        <v>76.0</v>
      </c>
      <c r="F24" s="8">
        <v>0.0</v>
      </c>
      <c r="G24" s="8">
        <v>0.0</v>
      </c>
      <c r="H24" s="8">
        <v>40.0</v>
      </c>
      <c r="I24" s="8">
        <v>76.0</v>
      </c>
      <c r="J24" s="8">
        <v>0.0</v>
      </c>
      <c r="K24" s="8">
        <v>0.0</v>
      </c>
      <c r="L24" s="37">
        <v>1.0</v>
      </c>
    </row>
    <row r="25" ht="22.5" customHeight="1">
      <c r="A25" s="31" t="s">
        <v>123</v>
      </c>
      <c r="B25" s="32"/>
      <c r="C25" s="32"/>
      <c r="D25" s="34">
        <f t="shared" ref="D25:L25" si="1">SUM(D2:D24)</f>
        <v>380730</v>
      </c>
      <c r="E25" s="34">
        <f t="shared" si="1"/>
        <v>36184</v>
      </c>
      <c r="F25" s="34">
        <f t="shared" si="1"/>
        <v>18976</v>
      </c>
      <c r="G25" s="34">
        <f t="shared" si="1"/>
        <v>150.35</v>
      </c>
      <c r="H25" s="34">
        <f t="shared" si="1"/>
        <v>32801</v>
      </c>
      <c r="I25" s="34">
        <f t="shared" si="1"/>
        <v>36036</v>
      </c>
      <c r="J25" s="34">
        <f t="shared" si="1"/>
        <v>148</v>
      </c>
      <c r="K25" s="34">
        <f t="shared" si="1"/>
        <v>148</v>
      </c>
      <c r="L25" s="34">
        <f t="shared" si="1"/>
        <v>18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</sheetData>
  <dataValidations>
    <dataValidation type="custom" allowBlank="1" showDropDown="1" sqref="A2:A25 D2:K2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45">
        <v>3.6563279E7</v>
      </c>
      <c r="B2" s="46" t="s">
        <v>487</v>
      </c>
      <c r="C2" s="46" t="s">
        <v>488</v>
      </c>
      <c r="D2" s="47">
        <v>2666.0</v>
      </c>
      <c r="E2" s="47">
        <v>517.0</v>
      </c>
      <c r="F2" s="47">
        <v>2149.0</v>
      </c>
      <c r="G2" s="47">
        <v>19.39</v>
      </c>
      <c r="H2" s="47">
        <v>466.0</v>
      </c>
      <c r="I2" s="47">
        <v>517.0</v>
      </c>
      <c r="J2" s="47">
        <v>0.0</v>
      </c>
      <c r="K2" s="47">
        <v>0.0</v>
      </c>
      <c r="L2" s="48">
        <v>1.0</v>
      </c>
    </row>
    <row r="3" ht="22.5" customHeight="1">
      <c r="A3" s="45">
        <v>3.9410013E7</v>
      </c>
      <c r="B3" s="46" t="s">
        <v>491</v>
      </c>
      <c r="C3" s="46" t="s">
        <v>492</v>
      </c>
      <c r="D3" s="49">
        <v>9439.0</v>
      </c>
      <c r="E3" s="47">
        <v>385.0</v>
      </c>
      <c r="F3" s="47">
        <v>0.0</v>
      </c>
      <c r="G3" s="47">
        <v>0.0</v>
      </c>
      <c r="H3" s="47">
        <v>367.0</v>
      </c>
      <c r="I3" s="47">
        <v>385.0</v>
      </c>
      <c r="J3" s="47">
        <v>0.0</v>
      </c>
      <c r="K3" s="47">
        <v>0.0</v>
      </c>
      <c r="L3" s="48">
        <v>1.0</v>
      </c>
    </row>
    <row r="4" ht="22.5" customHeight="1">
      <c r="A4" s="45">
        <v>2223827.0</v>
      </c>
      <c r="B4" s="46" t="s">
        <v>495</v>
      </c>
      <c r="C4" s="46" t="s">
        <v>496</v>
      </c>
      <c r="D4" s="47">
        <v>228957.0</v>
      </c>
      <c r="E4" s="47">
        <v>250.0</v>
      </c>
      <c r="F4" s="47">
        <v>228707.0</v>
      </c>
      <c r="G4" s="47">
        <v>0.11</v>
      </c>
      <c r="H4" s="47">
        <v>214.0</v>
      </c>
      <c r="I4" s="47">
        <v>250.0</v>
      </c>
      <c r="J4" s="47">
        <v>0.0</v>
      </c>
      <c r="K4" s="47">
        <v>0.0</v>
      </c>
      <c r="L4" s="48">
        <v>1.0</v>
      </c>
    </row>
    <row r="5" ht="22.5" customHeight="1">
      <c r="A5" s="45">
        <v>2.6554411E7</v>
      </c>
      <c r="B5" s="46" t="s">
        <v>501</v>
      </c>
      <c r="C5" s="46" t="s">
        <v>502</v>
      </c>
      <c r="D5" s="49">
        <v>3449.0</v>
      </c>
      <c r="E5" s="47">
        <v>243.0</v>
      </c>
      <c r="F5" s="47">
        <v>0.0</v>
      </c>
      <c r="G5" s="47">
        <v>0.0</v>
      </c>
      <c r="H5" s="47">
        <v>216.0</v>
      </c>
      <c r="I5" s="47">
        <v>241.0</v>
      </c>
      <c r="J5" s="47">
        <v>1.0</v>
      </c>
      <c r="K5" s="47">
        <v>2.0</v>
      </c>
      <c r="L5" s="48">
        <v>1.0</v>
      </c>
    </row>
    <row r="6" ht="22.5" customHeight="1">
      <c r="A6" s="45">
        <v>2223939.0</v>
      </c>
      <c r="B6" s="46" t="s">
        <v>507</v>
      </c>
      <c r="C6" s="46" t="s">
        <v>508</v>
      </c>
      <c r="D6" s="47">
        <v>2704.0</v>
      </c>
      <c r="E6" s="47">
        <v>185.0</v>
      </c>
      <c r="F6" s="47">
        <v>2519.0</v>
      </c>
      <c r="G6" s="47">
        <v>6.84</v>
      </c>
      <c r="H6" s="47">
        <v>183.0</v>
      </c>
      <c r="I6" s="47">
        <v>185.0</v>
      </c>
      <c r="J6" s="47">
        <v>0.0</v>
      </c>
      <c r="K6" s="47">
        <v>0.0</v>
      </c>
      <c r="L6" s="48">
        <v>1.0</v>
      </c>
    </row>
    <row r="7" ht="22.5" customHeight="1">
      <c r="A7" s="45">
        <v>3.6881623E7</v>
      </c>
      <c r="B7" s="46" t="s">
        <v>513</v>
      </c>
      <c r="C7" s="46" t="s">
        <v>514</v>
      </c>
      <c r="D7" s="49">
        <v>1536.0</v>
      </c>
      <c r="E7" s="47">
        <v>105.0</v>
      </c>
      <c r="F7" s="47">
        <v>0.0</v>
      </c>
      <c r="G7" s="47">
        <v>0.0</v>
      </c>
      <c r="H7" s="47">
        <v>0.0</v>
      </c>
      <c r="I7" s="47">
        <v>105.0</v>
      </c>
      <c r="J7" s="47">
        <v>0.0</v>
      </c>
      <c r="K7" s="47">
        <v>0.0</v>
      </c>
      <c r="L7" s="48">
        <v>1.0</v>
      </c>
    </row>
    <row r="8" ht="22.5" customHeight="1">
      <c r="A8" s="45">
        <v>2223922.0</v>
      </c>
      <c r="B8" s="46" t="s">
        <v>519</v>
      </c>
      <c r="C8" s="50" t="s">
        <v>520</v>
      </c>
      <c r="D8" s="49">
        <v>7090.0</v>
      </c>
      <c r="E8" s="47">
        <v>38.0</v>
      </c>
      <c r="F8" s="47">
        <v>0.0</v>
      </c>
      <c r="G8" s="47">
        <v>0.0</v>
      </c>
      <c r="H8" s="47">
        <v>4.0</v>
      </c>
      <c r="I8" s="47">
        <v>38.0</v>
      </c>
      <c r="J8" s="47">
        <v>0.0</v>
      </c>
      <c r="K8" s="47">
        <v>0.0</v>
      </c>
      <c r="L8" s="48">
        <v>1.0</v>
      </c>
    </row>
    <row r="9" ht="22.5" customHeight="1">
      <c r="A9" s="45">
        <v>5534284.0</v>
      </c>
      <c r="B9" s="46" t="s">
        <v>525</v>
      </c>
      <c r="C9" s="46" t="s">
        <v>526</v>
      </c>
      <c r="D9" s="49">
        <v>7464.0</v>
      </c>
      <c r="E9" s="47">
        <v>21.0</v>
      </c>
      <c r="F9" s="47">
        <v>0.0</v>
      </c>
      <c r="G9" s="47">
        <v>0.0</v>
      </c>
      <c r="H9" s="47">
        <v>20.0</v>
      </c>
      <c r="I9" s="47">
        <v>21.0</v>
      </c>
      <c r="J9" s="47">
        <v>0.0</v>
      </c>
      <c r="K9" s="47">
        <v>0.0</v>
      </c>
      <c r="L9" s="48">
        <v>1.0</v>
      </c>
    </row>
    <row r="10" ht="22.5" customHeight="1">
      <c r="A10" s="45">
        <v>3.751153E7</v>
      </c>
      <c r="B10" s="46" t="s">
        <v>533</v>
      </c>
      <c r="C10" s="46" t="s">
        <v>534</v>
      </c>
      <c r="D10" s="49">
        <v>5134.0</v>
      </c>
      <c r="E10" s="47">
        <v>11.0</v>
      </c>
      <c r="F10" s="47">
        <v>0.0</v>
      </c>
      <c r="G10" s="47">
        <v>0.0</v>
      </c>
      <c r="H10" s="47">
        <v>0.0</v>
      </c>
      <c r="I10" s="47">
        <v>11.0</v>
      </c>
      <c r="J10" s="47">
        <v>0.0</v>
      </c>
      <c r="K10" s="47">
        <v>0.0</v>
      </c>
      <c r="L10" s="48">
        <v>1.0</v>
      </c>
    </row>
    <row r="11" ht="22.5" customHeight="1">
      <c r="A11" s="45">
        <v>1.3939138E7</v>
      </c>
      <c r="B11" s="46" t="s">
        <v>539</v>
      </c>
      <c r="C11" s="46" t="s">
        <v>541</v>
      </c>
      <c r="D11" s="49">
        <v>65482.0</v>
      </c>
      <c r="E11" s="47">
        <v>6.0</v>
      </c>
      <c r="F11" s="47">
        <v>0.0</v>
      </c>
      <c r="G11" s="47">
        <v>0.0</v>
      </c>
      <c r="H11" s="47">
        <v>0.0</v>
      </c>
      <c r="I11" s="47">
        <v>6.0</v>
      </c>
      <c r="J11" s="47">
        <v>0.0</v>
      </c>
      <c r="K11" s="47">
        <v>0.0</v>
      </c>
      <c r="L11" s="48">
        <v>1.0</v>
      </c>
    </row>
    <row r="12" ht="22.5" customHeight="1">
      <c r="A12" s="45">
        <v>3.6379163E7</v>
      </c>
      <c r="B12" s="46" t="s">
        <v>547</v>
      </c>
      <c r="C12" s="46" t="s">
        <v>549</v>
      </c>
      <c r="D12" s="49">
        <v>312.0</v>
      </c>
      <c r="E12" s="47">
        <v>0.0</v>
      </c>
      <c r="F12" s="47">
        <v>0.0</v>
      </c>
      <c r="G12" s="47">
        <v>0.0</v>
      </c>
      <c r="H12" s="47">
        <v>0.0</v>
      </c>
      <c r="I12" s="47">
        <v>0.0</v>
      </c>
      <c r="J12" s="47">
        <v>0.0</v>
      </c>
      <c r="K12" s="47">
        <v>0.0</v>
      </c>
      <c r="L12" s="48">
        <v>1.0</v>
      </c>
    </row>
    <row r="13" ht="22.5" customHeight="1">
      <c r="A13" s="45">
        <v>3.6744003E7</v>
      </c>
      <c r="B13" s="46" t="s">
        <v>557</v>
      </c>
      <c r="C13" s="46" t="s">
        <v>558</v>
      </c>
      <c r="D13" s="49">
        <v>808.0</v>
      </c>
      <c r="E13" s="47">
        <v>0.0</v>
      </c>
      <c r="F13" s="47">
        <v>0.0</v>
      </c>
      <c r="G13" s="47">
        <v>0.0</v>
      </c>
      <c r="H13" s="47">
        <v>0.0</v>
      </c>
      <c r="I13" s="47">
        <v>0.0</v>
      </c>
      <c r="J13" s="47">
        <v>0.0</v>
      </c>
      <c r="K13" s="47">
        <v>0.0</v>
      </c>
      <c r="L13" s="48">
        <v>1.0</v>
      </c>
    </row>
    <row r="14" ht="22.5" customHeight="1">
      <c r="A14" s="45">
        <v>2229882.0</v>
      </c>
      <c r="B14" s="46" t="s">
        <v>565</v>
      </c>
      <c r="C14" s="46" t="s">
        <v>566</v>
      </c>
      <c r="D14" s="49">
        <v>7598.0</v>
      </c>
      <c r="E14" s="47">
        <v>0.0</v>
      </c>
      <c r="F14" s="47">
        <v>0.0</v>
      </c>
      <c r="G14" s="47">
        <v>0.0</v>
      </c>
      <c r="H14" s="47">
        <v>0.0</v>
      </c>
      <c r="I14" s="47">
        <v>0.0</v>
      </c>
      <c r="J14" s="47">
        <v>0.0</v>
      </c>
      <c r="K14" s="47">
        <v>0.0</v>
      </c>
      <c r="L14" s="48">
        <v>1.0</v>
      </c>
    </row>
    <row r="15" ht="22.5" customHeight="1">
      <c r="A15" s="45">
        <v>2223902.0</v>
      </c>
      <c r="B15" s="46" t="s">
        <v>574</v>
      </c>
      <c r="C15" s="46" t="s">
        <v>576</v>
      </c>
      <c r="D15" s="49">
        <v>3397.0</v>
      </c>
      <c r="E15" s="47">
        <v>0.0</v>
      </c>
      <c r="F15" s="47">
        <v>0.0</v>
      </c>
      <c r="G15" s="47">
        <v>0.0</v>
      </c>
      <c r="H15" s="47">
        <v>0.0</v>
      </c>
      <c r="I15" s="47">
        <v>0.0</v>
      </c>
      <c r="J15" s="47">
        <v>0.0</v>
      </c>
      <c r="K15" s="47">
        <v>0.0</v>
      </c>
      <c r="L15" s="48">
        <v>1.0</v>
      </c>
    </row>
    <row r="16" ht="22.5" customHeight="1">
      <c r="A16" s="45">
        <v>3.8645185E7</v>
      </c>
      <c r="B16" s="46" t="s">
        <v>581</v>
      </c>
      <c r="C16" s="46" t="s">
        <v>582</v>
      </c>
      <c r="D16" s="49">
        <v>2328.0</v>
      </c>
      <c r="E16" s="47">
        <v>0.0</v>
      </c>
      <c r="F16" s="47">
        <v>0.0</v>
      </c>
      <c r="G16" s="47">
        <v>0.0</v>
      </c>
      <c r="H16" s="47">
        <v>0.0</v>
      </c>
      <c r="I16" s="47">
        <v>0.0</v>
      </c>
      <c r="J16" s="47">
        <v>0.0</v>
      </c>
      <c r="K16" s="47">
        <v>0.0</v>
      </c>
      <c r="L16" s="48">
        <v>1.0</v>
      </c>
    </row>
    <row r="17" ht="22.5" customHeight="1">
      <c r="A17" s="45">
        <v>3.6379133E7</v>
      </c>
      <c r="B17" s="46" t="s">
        <v>589</v>
      </c>
      <c r="C17" s="46" t="s">
        <v>592</v>
      </c>
      <c r="D17" s="49">
        <v>3844.0</v>
      </c>
      <c r="E17" s="47">
        <v>0.0</v>
      </c>
      <c r="F17" s="47">
        <v>0.0</v>
      </c>
      <c r="G17" s="47">
        <v>0.0</v>
      </c>
      <c r="H17" s="47">
        <v>0.0</v>
      </c>
      <c r="I17" s="47">
        <v>0.0</v>
      </c>
      <c r="J17" s="47">
        <v>0.0</v>
      </c>
      <c r="K17" s="47">
        <v>0.0</v>
      </c>
      <c r="L17" s="48">
        <v>1.0</v>
      </c>
    </row>
    <row r="18" ht="22.5" customHeight="1">
      <c r="A18" s="45">
        <v>3.373093E7</v>
      </c>
      <c r="B18" s="46" t="s">
        <v>595</v>
      </c>
      <c r="C18" s="46" t="s">
        <v>596</v>
      </c>
      <c r="D18" s="49">
        <v>21604.0</v>
      </c>
      <c r="E18" s="47">
        <v>0.0</v>
      </c>
      <c r="F18" s="47">
        <v>0.0</v>
      </c>
      <c r="G18" s="47">
        <v>0.0</v>
      </c>
      <c r="H18" s="47">
        <v>0.0</v>
      </c>
      <c r="I18" s="47">
        <v>0.0</v>
      </c>
      <c r="J18" s="47">
        <v>0.0</v>
      </c>
      <c r="K18" s="47">
        <v>0.0</v>
      </c>
      <c r="L18" s="48">
        <v>1.0</v>
      </c>
    </row>
    <row r="19" ht="22.5" customHeight="1">
      <c r="A19" s="45">
        <v>3.7969682E7</v>
      </c>
      <c r="B19" s="46" t="s">
        <v>599</v>
      </c>
      <c r="C19" s="46" t="s">
        <v>600</v>
      </c>
      <c r="D19" s="49">
        <v>12154.0</v>
      </c>
      <c r="E19" s="47">
        <v>0.0</v>
      </c>
      <c r="F19" s="47">
        <v>0.0</v>
      </c>
      <c r="G19" s="47">
        <v>0.0</v>
      </c>
      <c r="H19" s="47">
        <v>0.0</v>
      </c>
      <c r="I19" s="47">
        <v>0.0</v>
      </c>
      <c r="J19" s="47">
        <v>0.0</v>
      </c>
      <c r="K19" s="47">
        <v>0.0</v>
      </c>
      <c r="L19" s="48">
        <v>1.0</v>
      </c>
    </row>
    <row r="20" ht="22.5" customHeight="1">
      <c r="A20" s="45">
        <v>3.6860446E7</v>
      </c>
      <c r="B20" s="46" t="s">
        <v>603</v>
      </c>
      <c r="C20" s="46" t="s">
        <v>604</v>
      </c>
      <c r="D20" s="49">
        <v>3529.0</v>
      </c>
      <c r="E20" s="47">
        <v>0.0</v>
      </c>
      <c r="F20" s="47">
        <v>0.0</v>
      </c>
      <c r="G20" s="47">
        <v>0.0</v>
      </c>
      <c r="H20" s="47">
        <v>0.0</v>
      </c>
      <c r="I20" s="47">
        <v>0.0</v>
      </c>
      <c r="J20" s="47">
        <v>0.0</v>
      </c>
      <c r="K20" s="47">
        <v>0.0</v>
      </c>
      <c r="L20" s="48">
        <v>1.0</v>
      </c>
    </row>
    <row r="21" ht="22.5" customHeight="1">
      <c r="A21" s="45">
        <v>4.5030721E7</v>
      </c>
      <c r="B21" s="46" t="s">
        <v>606</v>
      </c>
      <c r="C21" s="46" t="s">
        <v>608</v>
      </c>
      <c r="D21" s="49">
        <v>2400.0</v>
      </c>
      <c r="E21" s="47">
        <v>0.0</v>
      </c>
      <c r="F21" s="47">
        <v>0.0</v>
      </c>
      <c r="G21" s="47">
        <v>0.0</v>
      </c>
      <c r="H21" s="47">
        <v>0.0</v>
      </c>
      <c r="I21" s="47">
        <v>0.0</v>
      </c>
      <c r="J21" s="47">
        <v>0.0</v>
      </c>
      <c r="K21" s="47">
        <v>0.0</v>
      </c>
      <c r="L21" s="48">
        <v>1.0</v>
      </c>
    </row>
    <row r="22" ht="22.5" customHeight="1">
      <c r="A22" s="45">
        <v>4.2572768E7</v>
      </c>
      <c r="B22" s="46" t="s">
        <v>609</v>
      </c>
      <c r="C22" s="46" t="s">
        <v>610</v>
      </c>
      <c r="D22" s="49">
        <v>1233.0</v>
      </c>
      <c r="E22" s="47">
        <v>0.0</v>
      </c>
      <c r="F22" s="47">
        <v>0.0</v>
      </c>
      <c r="G22" s="47">
        <v>0.0</v>
      </c>
      <c r="H22" s="47">
        <v>0.0</v>
      </c>
      <c r="I22" s="47">
        <v>0.0</v>
      </c>
      <c r="J22" s="47">
        <v>0.0</v>
      </c>
      <c r="K22" s="47">
        <v>0.0</v>
      </c>
      <c r="L22" s="48">
        <v>1.0</v>
      </c>
    </row>
    <row r="23" ht="22.5" customHeight="1">
      <c r="A23" s="45">
        <v>4.0796115E7</v>
      </c>
      <c r="B23" s="46" t="s">
        <v>613</v>
      </c>
      <c r="C23" s="46" t="s">
        <v>614</v>
      </c>
      <c r="D23" s="49">
        <v>592.0</v>
      </c>
      <c r="E23" s="47">
        <v>0.0</v>
      </c>
      <c r="F23" s="47">
        <v>0.0</v>
      </c>
      <c r="G23" s="47">
        <v>0.0</v>
      </c>
      <c r="H23" s="47">
        <v>0.0</v>
      </c>
      <c r="I23" s="47">
        <v>0.0</v>
      </c>
      <c r="J23" s="47">
        <v>0.0</v>
      </c>
      <c r="K23" s="47">
        <v>0.0</v>
      </c>
      <c r="L23" s="48">
        <v>1.0</v>
      </c>
    </row>
    <row r="24" ht="22.5" customHeight="1">
      <c r="A24" s="45">
        <v>2.5869041E7</v>
      </c>
      <c r="B24" s="46" t="s">
        <v>617</v>
      </c>
      <c r="C24" s="46" t="s">
        <v>618</v>
      </c>
      <c r="D24" s="49">
        <v>951.0</v>
      </c>
      <c r="E24" s="47">
        <v>0.0</v>
      </c>
      <c r="F24" s="47">
        <v>0.0</v>
      </c>
      <c r="G24" s="47">
        <v>0.0</v>
      </c>
      <c r="H24" s="47">
        <v>0.0</v>
      </c>
      <c r="I24" s="47">
        <v>0.0</v>
      </c>
      <c r="J24" s="47">
        <v>0.0</v>
      </c>
      <c r="K24" s="47">
        <v>0.0</v>
      </c>
      <c r="L24" s="48">
        <v>1.0</v>
      </c>
    </row>
    <row r="25" ht="22.5" customHeight="1">
      <c r="A25" s="45">
        <v>2.5868314E7</v>
      </c>
      <c r="B25" s="46" t="s">
        <v>623</v>
      </c>
      <c r="C25" s="46" t="s">
        <v>624</v>
      </c>
      <c r="D25" s="49">
        <v>2004.0</v>
      </c>
      <c r="E25" s="47">
        <v>0.0</v>
      </c>
      <c r="F25" s="47">
        <v>0.0</v>
      </c>
      <c r="G25" s="47">
        <v>0.0</v>
      </c>
      <c r="H25" s="47">
        <v>0.0</v>
      </c>
      <c r="I25" s="47">
        <v>0.0</v>
      </c>
      <c r="J25" s="47">
        <v>0.0</v>
      </c>
      <c r="K25" s="47">
        <v>0.0</v>
      </c>
      <c r="L25" s="48">
        <v>1.0</v>
      </c>
    </row>
    <row r="26" ht="22.5" customHeight="1">
      <c r="A26" s="45">
        <v>2223916.0</v>
      </c>
      <c r="B26" s="46" t="s">
        <v>629</v>
      </c>
      <c r="C26" s="46" t="s">
        <v>630</v>
      </c>
      <c r="D26" s="49">
        <v>70206.0</v>
      </c>
      <c r="E26" s="47">
        <v>0.0</v>
      </c>
      <c r="F26" s="47">
        <v>0.0</v>
      </c>
      <c r="G26" s="47">
        <v>0.0</v>
      </c>
      <c r="H26" s="47">
        <v>0.0</v>
      </c>
      <c r="I26" s="47">
        <v>0.0</v>
      </c>
      <c r="J26" s="47">
        <v>0.0</v>
      </c>
      <c r="K26" s="47">
        <v>0.0</v>
      </c>
      <c r="L26" s="48">
        <v>1.0</v>
      </c>
    </row>
    <row r="27" ht="22.5" customHeight="1">
      <c r="A27" s="45">
        <v>2.5867562E7</v>
      </c>
      <c r="B27" s="46" t="s">
        <v>634</v>
      </c>
      <c r="C27" s="46" t="s">
        <v>636</v>
      </c>
      <c r="D27" s="49">
        <v>34111.0</v>
      </c>
      <c r="E27" s="47">
        <v>0.0</v>
      </c>
      <c r="F27" s="47">
        <v>0.0</v>
      </c>
      <c r="G27" s="47">
        <v>0.0</v>
      </c>
      <c r="H27" s="47">
        <v>0.0</v>
      </c>
      <c r="I27" s="47">
        <v>0.0</v>
      </c>
      <c r="J27" s="47">
        <v>0.0</v>
      </c>
      <c r="K27" s="47">
        <v>0.0</v>
      </c>
      <c r="L27" s="48">
        <v>1.0</v>
      </c>
    </row>
    <row r="28" ht="22.5" customHeight="1">
      <c r="A28" s="45">
        <v>3.4749853E7</v>
      </c>
      <c r="B28" s="46" t="s">
        <v>645</v>
      </c>
      <c r="C28" s="46" t="s">
        <v>646</v>
      </c>
      <c r="D28" s="49">
        <v>580.0</v>
      </c>
      <c r="E28" s="47">
        <v>0.0</v>
      </c>
      <c r="F28" s="47">
        <v>0.0</v>
      </c>
      <c r="G28" s="47">
        <v>0.0</v>
      </c>
      <c r="H28" s="47">
        <v>0.0</v>
      </c>
      <c r="I28" s="47">
        <v>0.0</v>
      </c>
      <c r="J28" s="47">
        <v>0.0</v>
      </c>
      <c r="K28" s="47">
        <v>0.0</v>
      </c>
      <c r="L28" s="48">
        <v>1.0</v>
      </c>
    </row>
    <row r="29" ht="22.5" customHeight="1">
      <c r="A29" s="45">
        <v>3.641619E7</v>
      </c>
      <c r="B29" s="46" t="s">
        <v>654</v>
      </c>
      <c r="C29" s="46" t="s">
        <v>655</v>
      </c>
      <c r="D29" s="49">
        <v>24019.0</v>
      </c>
      <c r="E29" s="47">
        <v>0.0</v>
      </c>
      <c r="F29" s="47">
        <v>0.0</v>
      </c>
      <c r="G29" s="47">
        <v>0.0</v>
      </c>
      <c r="H29" s="47">
        <v>0.0</v>
      </c>
      <c r="I29" s="47">
        <v>0.0</v>
      </c>
      <c r="J29" s="47">
        <v>0.0</v>
      </c>
      <c r="K29" s="47">
        <v>0.0</v>
      </c>
      <c r="L29" s="48">
        <v>1.0</v>
      </c>
    </row>
    <row r="30" ht="22.5" customHeight="1">
      <c r="A30" s="45">
        <v>438368.0</v>
      </c>
      <c r="B30" s="46" t="s">
        <v>507</v>
      </c>
      <c r="C30" s="50" t="s">
        <v>663</v>
      </c>
      <c r="D30" s="49">
        <v>2816.0</v>
      </c>
      <c r="E30" s="47">
        <v>0.0</v>
      </c>
      <c r="F30" s="47">
        <v>0.0</v>
      </c>
      <c r="G30" s="47">
        <v>0.0</v>
      </c>
      <c r="H30" s="47">
        <v>0.0</v>
      </c>
      <c r="I30" s="47">
        <v>0.0</v>
      </c>
      <c r="J30" s="47">
        <v>0.0</v>
      </c>
      <c r="K30" s="47">
        <v>0.0</v>
      </c>
      <c r="L30" s="56"/>
    </row>
    <row r="31" ht="22.5" customHeight="1">
      <c r="A31" s="45">
        <v>2.3554008E7</v>
      </c>
      <c r="B31" s="46" t="s">
        <v>670</v>
      </c>
      <c r="C31" s="46" t="s">
        <v>673</v>
      </c>
      <c r="D31" s="47">
        <v>0.0</v>
      </c>
      <c r="E31" s="47">
        <v>0.0</v>
      </c>
      <c r="F31" s="47">
        <v>0.0</v>
      </c>
      <c r="G31" s="47">
        <v>0.0</v>
      </c>
      <c r="H31" s="47">
        <v>0.0</v>
      </c>
      <c r="I31" s="47">
        <v>0.0</v>
      </c>
      <c r="J31" s="47">
        <v>0.0</v>
      </c>
      <c r="K31" s="47">
        <v>0.0</v>
      </c>
      <c r="L31" s="48">
        <v>1.0</v>
      </c>
    </row>
    <row r="32" ht="22.5" customHeight="1">
      <c r="A32" s="45">
        <v>3.6613345E7</v>
      </c>
      <c r="B32" s="46" t="s">
        <v>679</v>
      </c>
      <c r="C32" s="46" t="s">
        <v>680</v>
      </c>
      <c r="D32" s="49">
        <v>568.0</v>
      </c>
      <c r="E32" s="47">
        <v>0.0</v>
      </c>
      <c r="F32" s="47">
        <v>0.0</v>
      </c>
      <c r="G32" s="47">
        <v>0.0</v>
      </c>
      <c r="H32" s="47">
        <v>0.0</v>
      </c>
      <c r="I32" s="47">
        <v>0.0</v>
      </c>
      <c r="J32" s="47">
        <v>0.0</v>
      </c>
      <c r="K32" s="47">
        <v>0.0</v>
      </c>
      <c r="L32" s="48">
        <v>1.0</v>
      </c>
    </row>
    <row r="33" ht="22.5" customHeight="1">
      <c r="A33" s="45">
        <v>3.8276221E7</v>
      </c>
      <c r="B33" s="46" t="s">
        <v>686</v>
      </c>
      <c r="C33" s="46" t="s">
        <v>687</v>
      </c>
      <c r="D33" s="49">
        <v>13760.0</v>
      </c>
      <c r="E33" s="47">
        <v>0.0</v>
      </c>
      <c r="F33" s="47">
        <v>0.0</v>
      </c>
      <c r="G33" s="47">
        <v>0.0</v>
      </c>
      <c r="H33" s="47">
        <v>0.0</v>
      </c>
      <c r="I33" s="47">
        <v>0.0</v>
      </c>
      <c r="J33" s="47">
        <v>0.0</v>
      </c>
      <c r="K33" s="47">
        <v>0.0</v>
      </c>
      <c r="L33" s="48">
        <v>1.0</v>
      </c>
    </row>
    <row r="34" ht="22.5" customHeight="1">
      <c r="A34" s="45">
        <v>2223856.0</v>
      </c>
      <c r="B34" s="46" t="s">
        <v>692</v>
      </c>
      <c r="C34" s="46" t="s">
        <v>693</v>
      </c>
      <c r="D34" s="49">
        <v>9181.0</v>
      </c>
      <c r="E34" s="47">
        <v>0.0</v>
      </c>
      <c r="F34" s="47">
        <v>0.0</v>
      </c>
      <c r="G34" s="47">
        <v>0.0</v>
      </c>
      <c r="H34" s="47">
        <v>0.0</v>
      </c>
      <c r="I34" s="47">
        <v>0.0</v>
      </c>
      <c r="J34" s="47">
        <v>0.0</v>
      </c>
      <c r="K34" s="47">
        <v>0.0</v>
      </c>
      <c r="L34" s="48">
        <v>1.0</v>
      </c>
    </row>
    <row r="35" ht="22.5" customHeight="1">
      <c r="A35" s="45">
        <v>2223879.0</v>
      </c>
      <c r="B35" s="46" t="s">
        <v>699</v>
      </c>
      <c r="C35" s="46" t="s">
        <v>700</v>
      </c>
      <c r="D35" s="49">
        <v>5034.0</v>
      </c>
      <c r="E35" s="47">
        <v>0.0</v>
      </c>
      <c r="F35" s="47">
        <v>0.0</v>
      </c>
      <c r="G35" s="47">
        <v>0.0</v>
      </c>
      <c r="H35" s="47">
        <v>0.0</v>
      </c>
      <c r="I35" s="47">
        <v>0.0</v>
      </c>
      <c r="J35" s="47">
        <v>0.0</v>
      </c>
      <c r="K35" s="47">
        <v>0.0</v>
      </c>
      <c r="L35" s="48">
        <v>1.0</v>
      </c>
    </row>
    <row r="36" ht="22.5" customHeight="1">
      <c r="A36" s="45">
        <v>2223862.0</v>
      </c>
      <c r="B36" s="46" t="s">
        <v>709</v>
      </c>
      <c r="C36" s="46" t="s">
        <v>710</v>
      </c>
      <c r="D36" s="49">
        <v>4620.0</v>
      </c>
      <c r="E36" s="47">
        <v>0.0</v>
      </c>
      <c r="F36" s="47">
        <v>0.0</v>
      </c>
      <c r="G36" s="47">
        <v>0.0</v>
      </c>
      <c r="H36" s="47">
        <v>0.0</v>
      </c>
      <c r="I36" s="47">
        <v>0.0</v>
      </c>
      <c r="J36" s="47">
        <v>0.0</v>
      </c>
      <c r="K36" s="47">
        <v>0.0</v>
      </c>
      <c r="L36" s="48">
        <v>1.0</v>
      </c>
    </row>
    <row r="37" ht="22.5" customHeight="1">
      <c r="A37" s="45">
        <v>2223945.0</v>
      </c>
      <c r="B37" s="46" t="s">
        <v>716</v>
      </c>
      <c r="C37" s="46" t="s">
        <v>717</v>
      </c>
      <c r="D37" s="49">
        <v>9743.0</v>
      </c>
      <c r="E37" s="47">
        <v>0.0</v>
      </c>
      <c r="F37" s="47">
        <v>0.0</v>
      </c>
      <c r="G37" s="47">
        <v>0.0</v>
      </c>
      <c r="H37" s="47">
        <v>0.0</v>
      </c>
      <c r="I37" s="47">
        <v>0.0</v>
      </c>
      <c r="J37" s="47">
        <v>0.0</v>
      </c>
      <c r="K37" s="47">
        <v>0.0</v>
      </c>
      <c r="L37" s="48">
        <v>1.0</v>
      </c>
    </row>
    <row r="38" ht="22.5" customHeight="1">
      <c r="A38" s="45">
        <v>3.5146433E7</v>
      </c>
      <c r="B38" s="46" t="s">
        <v>723</v>
      </c>
      <c r="C38" s="46" t="s">
        <v>724</v>
      </c>
      <c r="D38" s="49">
        <v>4268.0</v>
      </c>
      <c r="E38" s="47">
        <v>0.0</v>
      </c>
      <c r="F38" s="47">
        <v>0.0</v>
      </c>
      <c r="G38" s="47">
        <v>0.0</v>
      </c>
      <c r="H38" s="47">
        <v>0.0</v>
      </c>
      <c r="I38" s="47">
        <v>0.0</v>
      </c>
      <c r="J38" s="47">
        <v>0.0</v>
      </c>
      <c r="K38" s="47">
        <v>0.0</v>
      </c>
      <c r="L38" s="48">
        <v>1.0</v>
      </c>
    </row>
    <row r="39" ht="22.5" customHeight="1">
      <c r="A39" s="19" t="s">
        <v>123</v>
      </c>
      <c r="B39" s="20"/>
      <c r="C39" s="20"/>
      <c r="D39" s="21">
        <f t="shared" ref="D39:L39" si="1">SUM(D2:D38)</f>
        <v>575581</v>
      </c>
      <c r="E39" s="21">
        <f t="shared" si="1"/>
        <v>1761</v>
      </c>
      <c r="F39" s="21">
        <f t="shared" si="1"/>
        <v>233375</v>
      </c>
      <c r="G39" s="21">
        <f t="shared" si="1"/>
        <v>26.34</v>
      </c>
      <c r="H39" s="21">
        <f t="shared" si="1"/>
        <v>1470</v>
      </c>
      <c r="I39" s="21">
        <f t="shared" si="1"/>
        <v>1759</v>
      </c>
      <c r="J39" s="21">
        <f t="shared" si="1"/>
        <v>1</v>
      </c>
      <c r="K39" s="21">
        <f t="shared" si="1"/>
        <v>2</v>
      </c>
      <c r="L39" s="21">
        <f t="shared" si="1"/>
        <v>36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</sheetData>
  <dataValidations>
    <dataValidation type="custom" allowBlank="1" showDropDown="1" sqref="A2:A39 D2:K3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3.38"/>
    <col customWidth="1" min="3" max="3" width="20.63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7.13"/>
    <col customWidth="1" min="9" max="9" width="15.75"/>
    <col customWidth="1" min="10" max="10" width="18.63"/>
    <col customWidth="1" min="11" max="11" width="15.75"/>
    <col customWidth="1" min="12" max="12" width="1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6" t="s">
        <v>11</v>
      </c>
    </row>
    <row r="2" ht="22.5" customHeight="1">
      <c r="A2" s="4">
        <v>4.4218654E7</v>
      </c>
      <c r="B2" s="5" t="s">
        <v>499</v>
      </c>
      <c r="C2" s="5" t="s">
        <v>500</v>
      </c>
      <c r="D2" s="7">
        <v>13404.0</v>
      </c>
      <c r="E2" s="8">
        <v>869.0</v>
      </c>
      <c r="F2" s="8">
        <v>0.0</v>
      </c>
      <c r="G2" s="8">
        <v>0.0</v>
      </c>
      <c r="H2" s="8">
        <v>654.0</v>
      </c>
      <c r="I2" s="8">
        <v>869.0</v>
      </c>
      <c r="J2" s="8">
        <v>0.0</v>
      </c>
      <c r="K2" s="8">
        <v>0.0</v>
      </c>
      <c r="L2" s="18"/>
    </row>
    <row r="3" ht="22.5" customHeight="1">
      <c r="A3" s="4">
        <v>3.7938041E7</v>
      </c>
      <c r="B3" s="5" t="s">
        <v>505</v>
      </c>
      <c r="C3" s="5" t="s">
        <v>506</v>
      </c>
      <c r="D3" s="8">
        <v>4775.0</v>
      </c>
      <c r="E3" s="8">
        <v>735.0</v>
      </c>
      <c r="F3" s="8">
        <v>4040.0</v>
      </c>
      <c r="G3" s="8">
        <v>15.39</v>
      </c>
      <c r="H3" s="8">
        <v>563.0</v>
      </c>
      <c r="I3" s="8">
        <v>735.0</v>
      </c>
      <c r="J3" s="8">
        <v>0.0</v>
      </c>
      <c r="K3" s="8">
        <v>0.0</v>
      </c>
      <c r="L3" s="13">
        <v>1.0</v>
      </c>
    </row>
    <row r="4" ht="22.5" customHeight="1">
      <c r="A4" s="4">
        <v>3.7326365E7</v>
      </c>
      <c r="B4" s="5" t="s">
        <v>511</v>
      </c>
      <c r="C4" s="5" t="s">
        <v>512</v>
      </c>
      <c r="D4" s="8">
        <v>1326.0</v>
      </c>
      <c r="E4" s="8">
        <v>426.0</v>
      </c>
      <c r="F4" s="8">
        <v>900.0</v>
      </c>
      <c r="G4" s="8">
        <v>32.13</v>
      </c>
      <c r="H4" s="8">
        <v>27.0</v>
      </c>
      <c r="I4" s="8">
        <v>426.0</v>
      </c>
      <c r="J4" s="8">
        <v>0.0</v>
      </c>
      <c r="K4" s="8">
        <v>0.0</v>
      </c>
      <c r="L4" s="13">
        <v>1.0</v>
      </c>
    </row>
    <row r="5" ht="22.5" customHeight="1">
      <c r="A5" s="4">
        <v>2223951.0</v>
      </c>
      <c r="B5" s="5" t="s">
        <v>517</v>
      </c>
      <c r="C5" s="5" t="s">
        <v>518</v>
      </c>
      <c r="D5" s="7">
        <v>1466709.0</v>
      </c>
      <c r="E5" s="8">
        <v>320.0</v>
      </c>
      <c r="F5" s="8">
        <v>0.0</v>
      </c>
      <c r="G5" s="8">
        <v>0.0</v>
      </c>
      <c r="H5" s="8">
        <v>150.0</v>
      </c>
      <c r="I5" s="8">
        <v>320.0</v>
      </c>
      <c r="J5" s="8">
        <v>0.0</v>
      </c>
      <c r="K5" s="8">
        <v>0.0</v>
      </c>
      <c r="L5" s="13">
        <v>1.0</v>
      </c>
    </row>
    <row r="6" ht="22.5" customHeight="1">
      <c r="A6" s="4">
        <v>2.1089043E7</v>
      </c>
      <c r="B6" s="5" t="s">
        <v>521</v>
      </c>
      <c r="C6" s="5" t="s">
        <v>523</v>
      </c>
      <c r="D6" s="7">
        <v>1224.0</v>
      </c>
      <c r="E6" s="8">
        <v>277.0</v>
      </c>
      <c r="F6" s="8">
        <v>0.0</v>
      </c>
      <c r="G6" s="8">
        <v>0.0</v>
      </c>
      <c r="H6" s="8">
        <v>241.0</v>
      </c>
      <c r="I6" s="8">
        <v>277.0</v>
      </c>
      <c r="J6" s="8">
        <v>0.0</v>
      </c>
      <c r="K6" s="8">
        <v>0.0</v>
      </c>
      <c r="L6" s="13">
        <v>1.0</v>
      </c>
    </row>
    <row r="7" ht="22.5" customHeight="1">
      <c r="A7" s="4">
        <v>3.9507725E7</v>
      </c>
      <c r="B7" s="5" t="s">
        <v>527</v>
      </c>
      <c r="C7" s="5" t="s">
        <v>529</v>
      </c>
      <c r="D7" s="7">
        <v>455.0</v>
      </c>
      <c r="E7" s="8">
        <v>76.0</v>
      </c>
      <c r="F7" s="8">
        <v>0.0</v>
      </c>
      <c r="G7" s="8">
        <v>0.0</v>
      </c>
      <c r="H7" s="8">
        <v>11.0</v>
      </c>
      <c r="I7" s="8">
        <v>76.0</v>
      </c>
      <c r="J7" s="8">
        <v>0.0</v>
      </c>
      <c r="K7" s="8">
        <v>0.0</v>
      </c>
      <c r="L7" s="13">
        <v>1.0</v>
      </c>
    </row>
    <row r="8" ht="22.5" customHeight="1">
      <c r="A8" s="4">
        <v>2223974.0</v>
      </c>
      <c r="B8" s="5" t="s">
        <v>535</v>
      </c>
      <c r="C8" s="5" t="s">
        <v>538</v>
      </c>
      <c r="D8" s="7">
        <v>77380.0</v>
      </c>
      <c r="E8" s="8">
        <v>33.0</v>
      </c>
      <c r="F8" s="8">
        <v>0.0</v>
      </c>
      <c r="G8" s="8">
        <v>0.0</v>
      </c>
      <c r="H8" s="8">
        <v>15.0</v>
      </c>
      <c r="I8" s="8">
        <v>33.0</v>
      </c>
      <c r="J8" s="8">
        <v>0.0</v>
      </c>
      <c r="K8" s="8">
        <v>0.0</v>
      </c>
      <c r="L8" s="13">
        <v>1.0</v>
      </c>
    </row>
    <row r="9" ht="22.5" customHeight="1">
      <c r="A9" s="4">
        <v>2.2554101E7</v>
      </c>
      <c r="B9" s="5" t="s">
        <v>542</v>
      </c>
      <c r="C9" s="5" t="s">
        <v>544</v>
      </c>
      <c r="D9" s="8">
        <v>0.0</v>
      </c>
      <c r="E9" s="8">
        <v>6.0</v>
      </c>
      <c r="F9" s="8">
        <v>0.0</v>
      </c>
      <c r="G9" s="8">
        <v>0.0</v>
      </c>
      <c r="H9" s="8">
        <v>0.0</v>
      </c>
      <c r="I9" s="8">
        <v>6.0</v>
      </c>
      <c r="J9" s="8">
        <v>0.0</v>
      </c>
      <c r="K9" s="8">
        <v>0.0</v>
      </c>
      <c r="L9" s="18"/>
    </row>
    <row r="10" ht="22.5" customHeight="1">
      <c r="A10" s="4">
        <v>2.3305386E7</v>
      </c>
      <c r="B10" s="5" t="s">
        <v>548</v>
      </c>
      <c r="C10" s="5" t="s">
        <v>550</v>
      </c>
      <c r="D10" s="7">
        <v>7157.0</v>
      </c>
      <c r="E10" s="8">
        <v>3.0</v>
      </c>
      <c r="F10" s="8">
        <v>0.0</v>
      </c>
      <c r="G10" s="8">
        <v>0.0</v>
      </c>
      <c r="H10" s="8">
        <v>0.0</v>
      </c>
      <c r="I10" s="8">
        <v>3.0</v>
      </c>
      <c r="J10" s="8">
        <v>0.0</v>
      </c>
      <c r="K10" s="8">
        <v>0.0</v>
      </c>
      <c r="L10" s="13">
        <v>1.0</v>
      </c>
    </row>
    <row r="11" ht="22.5" customHeight="1">
      <c r="A11" s="4">
        <v>4.3949124E7</v>
      </c>
      <c r="B11" s="5" t="s">
        <v>555</v>
      </c>
      <c r="C11" s="5" t="s">
        <v>556</v>
      </c>
      <c r="D11" s="7">
        <v>3500.0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18"/>
    </row>
    <row r="12" ht="22.5" customHeight="1">
      <c r="A12" s="4">
        <v>3.6462933E7</v>
      </c>
      <c r="B12" s="5" t="s">
        <v>560</v>
      </c>
      <c r="C12" s="5" t="s">
        <v>561</v>
      </c>
      <c r="D12" s="7">
        <v>6755.0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13">
        <v>1.0</v>
      </c>
    </row>
    <row r="13" ht="22.5" customHeight="1">
      <c r="A13" s="4">
        <v>3.7137834E7</v>
      </c>
      <c r="B13" s="5" t="s">
        <v>567</v>
      </c>
      <c r="C13" s="5" t="s">
        <v>568</v>
      </c>
      <c r="D13" s="7">
        <v>512.0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13">
        <v>1.0</v>
      </c>
    </row>
    <row r="14" ht="22.5" customHeight="1">
      <c r="A14" s="4">
        <v>2.4176206E7</v>
      </c>
      <c r="B14" s="5" t="s">
        <v>572</v>
      </c>
      <c r="C14" s="5" t="s">
        <v>575</v>
      </c>
      <c r="D14" s="7">
        <v>5195.0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13">
        <v>1.0</v>
      </c>
    </row>
    <row r="15" ht="22.5" customHeight="1">
      <c r="A15" s="4">
        <v>4.1150128E7</v>
      </c>
      <c r="B15" s="5" t="s">
        <v>577</v>
      </c>
      <c r="C15" s="5" t="s">
        <v>578</v>
      </c>
      <c r="D15" s="7">
        <v>8977.0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13">
        <v>1.0</v>
      </c>
    </row>
    <row r="16" ht="22.5" customHeight="1">
      <c r="A16" s="4">
        <v>3.6635725E7</v>
      </c>
      <c r="B16" s="5" t="s">
        <v>585</v>
      </c>
      <c r="C16" s="5" t="s">
        <v>586</v>
      </c>
      <c r="D16" s="7">
        <v>13404.0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13">
        <v>1.0</v>
      </c>
    </row>
    <row r="17" ht="22.5" customHeight="1">
      <c r="A17" s="4">
        <v>1.3972673E7</v>
      </c>
      <c r="B17" s="5" t="s">
        <v>590</v>
      </c>
      <c r="C17" s="5" t="s">
        <v>591</v>
      </c>
      <c r="D17" s="8">
        <v>0.0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13">
        <v>1.0</v>
      </c>
    </row>
    <row r="18" ht="22.5" customHeight="1">
      <c r="A18" s="31" t="s">
        <v>123</v>
      </c>
      <c r="B18" s="32"/>
      <c r="C18" s="32"/>
      <c r="D18" s="34">
        <f t="shared" ref="D18:L18" si="1">SUM(D2:D17)</f>
        <v>1610773</v>
      </c>
      <c r="E18" s="34">
        <f t="shared" si="1"/>
        <v>2745</v>
      </c>
      <c r="F18" s="34">
        <f t="shared" si="1"/>
        <v>4940</v>
      </c>
      <c r="G18" s="34">
        <f t="shared" si="1"/>
        <v>47.52</v>
      </c>
      <c r="H18" s="34">
        <f t="shared" si="1"/>
        <v>1661</v>
      </c>
      <c r="I18" s="34">
        <f t="shared" si="1"/>
        <v>2745</v>
      </c>
      <c r="J18" s="34">
        <f t="shared" si="1"/>
        <v>0</v>
      </c>
      <c r="K18" s="34">
        <f t="shared" si="1"/>
        <v>0</v>
      </c>
      <c r="L18" s="34">
        <f t="shared" si="1"/>
        <v>13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</sheetData>
  <dataValidations>
    <dataValidation type="custom" allowBlank="1" showDropDown="1" sqref="A2:A18 D2:K1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4.63"/>
    <col customWidth="1" min="3" max="3" width="25.0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8.75"/>
    <col customWidth="1" min="9" max="9" width="15.75"/>
    <col customWidth="1" min="10" max="10" width="18.0"/>
    <col customWidth="1" min="11" max="11" width="15.75"/>
    <col customWidth="1" min="12" max="12" width="1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6" t="s">
        <v>11</v>
      </c>
    </row>
    <row r="2" ht="22.5" customHeight="1">
      <c r="A2" s="4">
        <v>3.5148797E7</v>
      </c>
      <c r="B2" s="5" t="s">
        <v>531</v>
      </c>
      <c r="C2" s="5" t="s">
        <v>532</v>
      </c>
      <c r="D2" s="7">
        <v>7653.0</v>
      </c>
      <c r="E2" s="8">
        <v>3622.0</v>
      </c>
      <c r="F2" s="8">
        <f t="shared" ref="F2:F18" si="1"> MINUS(D2, E2)</f>
        <v>4031</v>
      </c>
      <c r="G2" s="8"/>
      <c r="H2" s="8">
        <v>3570.0</v>
      </c>
      <c r="I2" s="8">
        <v>3622.0</v>
      </c>
      <c r="J2" s="8">
        <v>0.0</v>
      </c>
      <c r="K2" s="8">
        <v>0.0</v>
      </c>
      <c r="L2" s="13">
        <v>1.0</v>
      </c>
    </row>
    <row r="3" ht="22.5" customHeight="1">
      <c r="A3" s="4">
        <v>3.7824917E7</v>
      </c>
      <c r="B3" s="5" t="s">
        <v>540</v>
      </c>
      <c r="C3" s="5" t="s">
        <v>543</v>
      </c>
      <c r="D3" s="7">
        <v>3193.0</v>
      </c>
      <c r="E3" s="8">
        <v>1441.0</v>
      </c>
      <c r="F3" s="8">
        <f t="shared" si="1"/>
        <v>1752</v>
      </c>
      <c r="G3" s="8">
        <v>0.0</v>
      </c>
      <c r="H3" s="8">
        <v>1403.0</v>
      </c>
      <c r="I3" s="8">
        <v>1441.0</v>
      </c>
      <c r="J3" s="8">
        <v>0.0</v>
      </c>
      <c r="K3" s="8">
        <v>0.0</v>
      </c>
      <c r="L3" s="13">
        <v>1.0</v>
      </c>
    </row>
    <row r="4" ht="22.5" customHeight="1">
      <c r="A4" s="4">
        <v>3.5555581E7</v>
      </c>
      <c r="B4" s="5" t="s">
        <v>551</v>
      </c>
      <c r="C4" s="5" t="s">
        <v>552</v>
      </c>
      <c r="D4" s="7">
        <v>3312.0</v>
      </c>
      <c r="E4" s="8">
        <v>970.0</v>
      </c>
      <c r="F4" s="8">
        <f t="shared" si="1"/>
        <v>2342</v>
      </c>
      <c r="G4" s="8">
        <v>0.0</v>
      </c>
      <c r="H4" s="8">
        <v>857.0</v>
      </c>
      <c r="I4" s="8">
        <v>970.0</v>
      </c>
      <c r="J4" s="8">
        <v>0.0</v>
      </c>
      <c r="K4" s="8">
        <v>0.0</v>
      </c>
      <c r="L4" s="13">
        <v>1.0</v>
      </c>
    </row>
    <row r="5" ht="22.5" customHeight="1">
      <c r="A5" s="4">
        <v>2226332.0</v>
      </c>
      <c r="B5" s="5" t="s">
        <v>559</v>
      </c>
      <c r="C5" s="5" t="s">
        <v>563</v>
      </c>
      <c r="D5" s="7">
        <v>15466.0</v>
      </c>
      <c r="E5" s="8">
        <v>495.0</v>
      </c>
      <c r="F5" s="8">
        <f t="shared" si="1"/>
        <v>14971</v>
      </c>
      <c r="G5" s="8">
        <v>0.0</v>
      </c>
      <c r="H5" s="8">
        <v>493.0</v>
      </c>
      <c r="I5" s="8">
        <v>495.0</v>
      </c>
      <c r="J5" s="8">
        <v>0.0</v>
      </c>
      <c r="K5" s="8">
        <v>0.0</v>
      </c>
      <c r="L5" s="13">
        <v>1.0</v>
      </c>
    </row>
    <row r="6" ht="22.5" customHeight="1">
      <c r="A6" s="4">
        <v>2226300.0</v>
      </c>
      <c r="B6" s="5" t="s">
        <v>571</v>
      </c>
      <c r="C6" s="5" t="s">
        <v>573</v>
      </c>
      <c r="D6" s="7">
        <v>52684.0</v>
      </c>
      <c r="E6" s="7">
        <v>335.0</v>
      </c>
      <c r="F6" s="8">
        <f t="shared" si="1"/>
        <v>52349</v>
      </c>
      <c r="G6" s="8">
        <v>0.0</v>
      </c>
      <c r="H6" s="8">
        <v>15.0</v>
      </c>
      <c r="I6" s="8">
        <v>335.0</v>
      </c>
      <c r="J6" s="8">
        <v>0.0</v>
      </c>
      <c r="K6" s="8">
        <v>0.0</v>
      </c>
      <c r="L6" s="13">
        <v>1.0</v>
      </c>
    </row>
    <row r="7" ht="22.5" customHeight="1">
      <c r="A7" s="4">
        <v>2.3997486E7</v>
      </c>
      <c r="B7" s="5" t="s">
        <v>583</v>
      </c>
      <c r="C7" s="5" t="s">
        <v>584</v>
      </c>
      <c r="D7" s="7">
        <v>10591.0</v>
      </c>
      <c r="E7" s="8">
        <v>270.0</v>
      </c>
      <c r="F7" s="8">
        <f t="shared" si="1"/>
        <v>10321</v>
      </c>
      <c r="G7" s="8">
        <v>0.0</v>
      </c>
      <c r="H7" s="8">
        <v>265.0</v>
      </c>
      <c r="I7" s="8">
        <v>270.0</v>
      </c>
      <c r="J7" s="8">
        <v>0.0</v>
      </c>
      <c r="K7" s="8">
        <v>0.0</v>
      </c>
      <c r="L7" s="13">
        <v>1.0</v>
      </c>
    </row>
    <row r="8" ht="22.5" customHeight="1">
      <c r="A8" s="4">
        <v>2.363849E7</v>
      </c>
      <c r="B8" s="5" t="s">
        <v>593</v>
      </c>
      <c r="C8" s="5" t="s">
        <v>594</v>
      </c>
      <c r="D8" s="7">
        <v>2054.0</v>
      </c>
      <c r="E8" s="8">
        <v>245.0</v>
      </c>
      <c r="F8" s="8">
        <f t="shared" si="1"/>
        <v>1809</v>
      </c>
      <c r="G8" s="8">
        <v>0.0</v>
      </c>
      <c r="H8" s="8">
        <v>245.0</v>
      </c>
      <c r="I8" s="8">
        <v>245.0</v>
      </c>
      <c r="J8" s="8">
        <v>0.0</v>
      </c>
      <c r="K8" s="8">
        <v>0.0</v>
      </c>
      <c r="L8" s="13">
        <v>1.0</v>
      </c>
    </row>
    <row r="9" ht="22.5" customHeight="1">
      <c r="A9" s="4">
        <v>2226317.0</v>
      </c>
      <c r="B9" s="5" t="s">
        <v>597</v>
      </c>
      <c r="C9" s="5" t="s">
        <v>598</v>
      </c>
      <c r="D9" s="8">
        <v>24000.0</v>
      </c>
      <c r="E9" s="8">
        <v>231.0</v>
      </c>
      <c r="F9" s="8">
        <f t="shared" si="1"/>
        <v>23769</v>
      </c>
      <c r="G9" s="8">
        <v>0.96</v>
      </c>
      <c r="H9" s="8">
        <v>219.0</v>
      </c>
      <c r="I9" s="8">
        <v>231.0</v>
      </c>
      <c r="J9" s="8">
        <v>0.0</v>
      </c>
      <c r="K9" s="8">
        <v>0.0</v>
      </c>
      <c r="L9" s="13">
        <v>1.0</v>
      </c>
    </row>
    <row r="10" ht="22.5" customHeight="1">
      <c r="A10" s="4">
        <v>3.7970001E7</v>
      </c>
      <c r="B10" s="5" t="s">
        <v>601</v>
      </c>
      <c r="C10" s="5" t="s">
        <v>602</v>
      </c>
      <c r="D10" s="7">
        <v>2953.0</v>
      </c>
      <c r="E10" s="8">
        <v>193.0</v>
      </c>
      <c r="F10" s="8">
        <f t="shared" si="1"/>
        <v>2760</v>
      </c>
      <c r="G10" s="8">
        <v>0.0</v>
      </c>
      <c r="H10" s="8">
        <v>192.0</v>
      </c>
      <c r="I10" s="8">
        <v>193.0</v>
      </c>
      <c r="J10" s="8">
        <v>0.0</v>
      </c>
      <c r="K10" s="8">
        <v>0.0</v>
      </c>
      <c r="L10" s="13">
        <v>1.0</v>
      </c>
    </row>
    <row r="11" ht="22.5" customHeight="1">
      <c r="A11" s="4">
        <v>2131999.0</v>
      </c>
      <c r="B11" s="5" t="s">
        <v>605</v>
      </c>
      <c r="C11" s="5" t="s">
        <v>607</v>
      </c>
      <c r="D11" s="7">
        <v>28900.0</v>
      </c>
      <c r="E11" s="8">
        <v>115.0</v>
      </c>
      <c r="F11" s="8">
        <f t="shared" si="1"/>
        <v>28785</v>
      </c>
      <c r="G11" s="8">
        <v>0.0</v>
      </c>
      <c r="H11" s="8">
        <v>115.0</v>
      </c>
      <c r="I11" s="8">
        <v>115.0</v>
      </c>
      <c r="J11" s="8">
        <v>0.0</v>
      </c>
      <c r="K11" s="8">
        <v>0.0</v>
      </c>
      <c r="L11" s="13">
        <v>1.0</v>
      </c>
    </row>
    <row r="12" ht="22.5" customHeight="1">
      <c r="A12" s="4">
        <v>3.4573746E7</v>
      </c>
      <c r="B12" s="5" t="s">
        <v>611</v>
      </c>
      <c r="C12" s="5" t="s">
        <v>612</v>
      </c>
      <c r="D12" s="7">
        <v>4359.0</v>
      </c>
      <c r="E12" s="8">
        <v>99.0</v>
      </c>
      <c r="F12" s="8">
        <f t="shared" si="1"/>
        <v>4260</v>
      </c>
      <c r="G12" s="8">
        <v>0.0</v>
      </c>
      <c r="H12" s="8">
        <v>51.0</v>
      </c>
      <c r="I12" s="8">
        <v>99.0</v>
      </c>
      <c r="J12" s="8">
        <v>0.0</v>
      </c>
      <c r="K12" s="8">
        <v>0.0</v>
      </c>
      <c r="L12" s="13">
        <v>1.0</v>
      </c>
    </row>
    <row r="13" ht="22.5" customHeight="1">
      <c r="A13" s="4">
        <v>3.6467182E7</v>
      </c>
      <c r="B13" s="5" t="s">
        <v>615</v>
      </c>
      <c r="C13" s="5" t="s">
        <v>616</v>
      </c>
      <c r="D13" s="7">
        <v>11962.0</v>
      </c>
      <c r="E13" s="8">
        <v>92.0</v>
      </c>
      <c r="F13" s="8">
        <f t="shared" si="1"/>
        <v>11870</v>
      </c>
      <c r="G13" s="8">
        <v>0.0</v>
      </c>
      <c r="H13" s="8">
        <v>92.0</v>
      </c>
      <c r="I13" s="8">
        <v>92.0</v>
      </c>
      <c r="J13" s="8">
        <v>0.0</v>
      </c>
      <c r="K13" s="8">
        <v>0.0</v>
      </c>
      <c r="L13" s="13">
        <v>1.0</v>
      </c>
    </row>
    <row r="14" ht="22.5" customHeight="1">
      <c r="A14" s="4">
        <v>3.5187024E7</v>
      </c>
      <c r="B14" s="5" t="s">
        <v>622</v>
      </c>
      <c r="C14" s="5" t="s">
        <v>625</v>
      </c>
      <c r="D14" s="7">
        <v>46209.0</v>
      </c>
      <c r="E14" s="8">
        <v>37.0</v>
      </c>
      <c r="F14" s="8">
        <f t="shared" si="1"/>
        <v>46172</v>
      </c>
      <c r="G14" s="8">
        <v>0.0</v>
      </c>
      <c r="H14" s="8">
        <v>37.0</v>
      </c>
      <c r="I14" s="8">
        <v>37.0</v>
      </c>
      <c r="J14" s="8">
        <v>0.0</v>
      </c>
      <c r="K14" s="8">
        <v>0.0</v>
      </c>
      <c r="L14" s="13">
        <v>1.0</v>
      </c>
    </row>
    <row r="15" ht="22.5" customHeight="1">
      <c r="A15" s="4">
        <v>6710754.0</v>
      </c>
      <c r="B15" s="5" t="s">
        <v>638</v>
      </c>
      <c r="C15" s="5" t="s">
        <v>639</v>
      </c>
      <c r="D15" s="8">
        <v>9800.0</v>
      </c>
      <c r="E15" s="8">
        <v>19.0</v>
      </c>
      <c r="F15" s="8">
        <f t="shared" si="1"/>
        <v>9781</v>
      </c>
      <c r="G15" s="8">
        <v>0.19</v>
      </c>
      <c r="H15" s="8">
        <v>18.0</v>
      </c>
      <c r="I15" s="8">
        <v>19.0</v>
      </c>
      <c r="J15" s="8">
        <v>0.0</v>
      </c>
      <c r="K15" s="8">
        <v>0.0</v>
      </c>
      <c r="L15" s="13">
        <v>1.0</v>
      </c>
    </row>
    <row r="16" ht="22.5" customHeight="1">
      <c r="A16" s="4">
        <v>2.4003836E7</v>
      </c>
      <c r="B16" s="5" t="s">
        <v>648</v>
      </c>
      <c r="C16" s="5" t="s">
        <v>650</v>
      </c>
      <c r="D16" s="7">
        <v>9280.0</v>
      </c>
      <c r="E16" s="8">
        <v>12.0</v>
      </c>
      <c r="F16" s="8">
        <f t="shared" si="1"/>
        <v>9268</v>
      </c>
      <c r="G16" s="8">
        <v>0.0</v>
      </c>
      <c r="H16" s="8">
        <v>0.0</v>
      </c>
      <c r="I16" s="8">
        <v>12.0</v>
      </c>
      <c r="J16" s="8">
        <v>0.0</v>
      </c>
      <c r="K16" s="8">
        <v>0.0</v>
      </c>
      <c r="L16" s="13">
        <v>1.0</v>
      </c>
    </row>
    <row r="17" ht="22.5" customHeight="1">
      <c r="A17" s="4">
        <v>2.4001487E7</v>
      </c>
      <c r="B17" s="5" t="s">
        <v>659</v>
      </c>
      <c r="C17" s="5" t="s">
        <v>660</v>
      </c>
      <c r="D17" s="7">
        <v>11741.0</v>
      </c>
      <c r="E17" s="8">
        <v>2.0</v>
      </c>
      <c r="F17" s="8">
        <f t="shared" si="1"/>
        <v>11739</v>
      </c>
      <c r="G17" s="8">
        <v>0.0</v>
      </c>
      <c r="H17" s="8">
        <v>2.0</v>
      </c>
      <c r="I17" s="8">
        <v>2.0</v>
      </c>
      <c r="J17" s="8">
        <v>0.0</v>
      </c>
      <c r="K17" s="8">
        <v>0.0</v>
      </c>
      <c r="L17" s="13">
        <v>1.0</v>
      </c>
    </row>
    <row r="18" ht="22.5" customHeight="1">
      <c r="A18" s="4">
        <v>3.6250395E7</v>
      </c>
      <c r="B18" s="5" t="s">
        <v>667</v>
      </c>
      <c r="C18" s="5" t="s">
        <v>668</v>
      </c>
      <c r="D18" s="7">
        <v>1733.0</v>
      </c>
      <c r="E18" s="8">
        <v>0.0</v>
      </c>
      <c r="F18" s="8">
        <f t="shared" si="1"/>
        <v>1733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13">
        <v>1.0</v>
      </c>
    </row>
    <row r="19" ht="22.5" customHeight="1">
      <c r="A19" s="31" t="s">
        <v>123</v>
      </c>
      <c r="B19" s="32"/>
      <c r="C19" s="32"/>
      <c r="D19" s="34">
        <f t="shared" ref="D19:L19" si="2">SUM(D2:D18)</f>
        <v>245890</v>
      </c>
      <c r="E19" s="34">
        <f t="shared" si="2"/>
        <v>8178</v>
      </c>
      <c r="F19" s="34">
        <f t="shared" si="2"/>
        <v>237712</v>
      </c>
      <c r="G19" s="34">
        <f t="shared" si="2"/>
        <v>1.15</v>
      </c>
      <c r="H19" s="34">
        <f t="shared" si="2"/>
        <v>7574</v>
      </c>
      <c r="I19" s="34">
        <f t="shared" si="2"/>
        <v>8178</v>
      </c>
      <c r="J19" s="34">
        <f t="shared" si="2"/>
        <v>0</v>
      </c>
      <c r="K19" s="34">
        <f t="shared" si="2"/>
        <v>0</v>
      </c>
      <c r="L19" s="34">
        <f t="shared" si="2"/>
        <v>17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</sheetData>
  <dataValidations>
    <dataValidation type="custom" allowBlank="1" showDropDown="1" sqref="A2:A19 D2:K1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3.38"/>
    <col customWidth="1" min="3" max="3" width="25.0"/>
    <col customWidth="1" min="4" max="4" width="18.13"/>
    <col customWidth="1" min="5" max="5" width="15.13"/>
    <col customWidth="1" min="6" max="6" width="15.88"/>
    <col customWidth="1" min="7" max="7" width="15.13"/>
    <col customWidth="1" min="8" max="8" width="18.88"/>
    <col customWidth="1" min="9" max="9" width="15.75"/>
    <col customWidth="1" min="10" max="10" width="18.0"/>
    <col customWidth="1" min="11" max="11" width="15.75"/>
    <col customWidth="1" min="12" max="12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ht="22.5" customHeight="1">
      <c r="A2" s="4">
        <v>2.6309545E7</v>
      </c>
      <c r="B2" s="5" t="s">
        <v>619</v>
      </c>
      <c r="C2" s="5" t="s">
        <v>620</v>
      </c>
      <c r="D2" s="51" t="s">
        <v>621</v>
      </c>
      <c r="E2" s="8">
        <v>2363.0</v>
      </c>
      <c r="F2" s="52">
        <v>0.0</v>
      </c>
      <c r="G2" s="8">
        <v>0.0</v>
      </c>
      <c r="H2" s="8">
        <v>2342.0</v>
      </c>
      <c r="I2" s="8">
        <v>2363.0</v>
      </c>
      <c r="J2" s="8">
        <v>0.0</v>
      </c>
      <c r="K2" s="8">
        <v>0.0</v>
      </c>
      <c r="L2" s="37">
        <v>1.0</v>
      </c>
    </row>
    <row r="3" ht="22.5" customHeight="1">
      <c r="A3" s="4">
        <v>3.5846415E7</v>
      </c>
      <c r="B3" s="5" t="s">
        <v>626</v>
      </c>
      <c r="C3" s="5" t="s">
        <v>627</v>
      </c>
      <c r="D3" s="51" t="s">
        <v>628</v>
      </c>
      <c r="E3" s="8">
        <v>1979.0</v>
      </c>
      <c r="F3" s="52">
        <v>0.0</v>
      </c>
      <c r="G3" s="8">
        <v>0.0</v>
      </c>
      <c r="H3" s="8">
        <v>0.0</v>
      </c>
      <c r="I3" s="8">
        <v>1979.0</v>
      </c>
      <c r="J3" s="8">
        <v>0.0</v>
      </c>
      <c r="K3" s="8">
        <v>0.0</v>
      </c>
      <c r="L3" s="42"/>
    </row>
    <row r="4" ht="22.5" customHeight="1">
      <c r="A4" s="4">
        <v>4.4426783E7</v>
      </c>
      <c r="B4" s="5" t="s">
        <v>631</v>
      </c>
      <c r="C4" s="5" t="s">
        <v>632</v>
      </c>
      <c r="D4" s="53" t="s">
        <v>633</v>
      </c>
      <c r="E4" s="8">
        <v>567.0</v>
      </c>
      <c r="F4" s="52">
        <v>0.0</v>
      </c>
      <c r="G4" s="8">
        <v>0.0</v>
      </c>
      <c r="H4" s="8">
        <v>546.0</v>
      </c>
      <c r="I4" s="8">
        <v>567.0</v>
      </c>
      <c r="J4" s="8">
        <v>0.0</v>
      </c>
      <c r="K4" s="8">
        <v>0.0</v>
      </c>
      <c r="L4" s="42"/>
    </row>
    <row r="5" ht="22.5" customHeight="1">
      <c r="A5" s="4">
        <v>2.6024191E7</v>
      </c>
      <c r="B5" s="5" t="s">
        <v>635</v>
      </c>
      <c r="C5" s="5" t="s">
        <v>637</v>
      </c>
      <c r="D5" s="53" t="s">
        <v>633</v>
      </c>
      <c r="E5" s="8">
        <v>424.0</v>
      </c>
      <c r="F5" s="52">
        <v>0.0</v>
      </c>
      <c r="G5" s="8">
        <v>0.0</v>
      </c>
      <c r="H5" s="8">
        <v>419.0</v>
      </c>
      <c r="I5" s="8">
        <v>424.0</v>
      </c>
      <c r="J5" s="8">
        <v>0.0</v>
      </c>
      <c r="K5" s="8">
        <v>0.0</v>
      </c>
      <c r="L5" s="42"/>
    </row>
    <row r="6" ht="22.5" customHeight="1">
      <c r="A6" s="4">
        <v>1.4028841E7</v>
      </c>
      <c r="B6" s="5" t="s">
        <v>640</v>
      </c>
      <c r="C6" s="5" t="s">
        <v>642</v>
      </c>
      <c r="D6" s="51" t="s">
        <v>643</v>
      </c>
      <c r="E6" s="8">
        <v>345.0</v>
      </c>
      <c r="F6" s="52">
        <v>0.0</v>
      </c>
      <c r="G6" s="8">
        <v>0.0</v>
      </c>
      <c r="H6" s="8">
        <v>109.0</v>
      </c>
      <c r="I6" s="8">
        <v>345.0</v>
      </c>
      <c r="J6" s="8">
        <v>0.0</v>
      </c>
      <c r="K6" s="8">
        <v>0.0</v>
      </c>
      <c r="L6" s="42"/>
    </row>
    <row r="7" ht="22.5" customHeight="1">
      <c r="A7" s="4">
        <v>2220036.0</v>
      </c>
      <c r="B7" s="5" t="s">
        <v>647</v>
      </c>
      <c r="C7" s="5" t="s">
        <v>649</v>
      </c>
      <c r="D7" s="51" t="s">
        <v>651</v>
      </c>
      <c r="E7" s="8">
        <v>248.0</v>
      </c>
      <c r="F7" s="52">
        <v>0.0</v>
      </c>
      <c r="G7" s="8">
        <v>0.0</v>
      </c>
      <c r="H7" s="8">
        <v>75.0</v>
      </c>
      <c r="I7" s="8">
        <v>248.0</v>
      </c>
      <c r="J7" s="8">
        <v>0.0</v>
      </c>
      <c r="K7" s="8">
        <v>0.0</v>
      </c>
      <c r="L7" s="42"/>
    </row>
    <row r="8" ht="22.5" customHeight="1">
      <c r="A8" s="4">
        <v>3.5051813E7</v>
      </c>
      <c r="B8" s="5" t="s">
        <v>656</v>
      </c>
      <c r="C8" s="5" t="s">
        <v>657</v>
      </c>
      <c r="D8" s="51" t="s">
        <v>658</v>
      </c>
      <c r="E8" s="8">
        <v>225.0</v>
      </c>
      <c r="F8" s="52">
        <v>0.0</v>
      </c>
      <c r="G8" s="8">
        <v>0.0</v>
      </c>
      <c r="H8" s="8">
        <v>225.0</v>
      </c>
      <c r="I8" s="8">
        <v>225.0</v>
      </c>
      <c r="J8" s="8">
        <v>0.0</v>
      </c>
      <c r="K8" s="8">
        <v>0.0</v>
      </c>
      <c r="L8" s="42"/>
    </row>
    <row r="9" ht="22.5" customHeight="1">
      <c r="A9" s="4">
        <v>2.6309373E7</v>
      </c>
      <c r="B9" s="5" t="s">
        <v>664</v>
      </c>
      <c r="C9" s="5" t="s">
        <v>665</v>
      </c>
      <c r="D9" s="51" t="s">
        <v>666</v>
      </c>
      <c r="E9" s="8">
        <v>178.0</v>
      </c>
      <c r="F9" s="52">
        <v>0.0</v>
      </c>
      <c r="G9" s="8">
        <v>0.0</v>
      </c>
      <c r="H9" s="8">
        <v>137.0</v>
      </c>
      <c r="I9" s="8">
        <v>178.0</v>
      </c>
      <c r="J9" s="8">
        <v>0.0</v>
      </c>
      <c r="K9" s="8">
        <v>0.0</v>
      </c>
      <c r="L9" s="42"/>
    </row>
    <row r="10" ht="22.5" customHeight="1">
      <c r="A10" s="4">
        <v>2.6569619E7</v>
      </c>
      <c r="B10" s="5" t="s">
        <v>669</v>
      </c>
      <c r="C10" s="5" t="s">
        <v>671</v>
      </c>
      <c r="D10" s="51" t="s">
        <v>672</v>
      </c>
      <c r="E10" s="8">
        <v>146.0</v>
      </c>
      <c r="F10" s="52">
        <v>0.0</v>
      </c>
      <c r="G10" s="8">
        <v>0.0</v>
      </c>
      <c r="H10" s="8">
        <v>62.0</v>
      </c>
      <c r="I10" s="8">
        <v>146.0</v>
      </c>
      <c r="J10" s="8">
        <v>0.0</v>
      </c>
      <c r="K10" s="8">
        <v>0.0</v>
      </c>
      <c r="L10" s="42"/>
    </row>
    <row r="11" ht="22.5" customHeight="1">
      <c r="A11" s="4">
        <v>2.6309491E7</v>
      </c>
      <c r="B11" s="5" t="s">
        <v>676</v>
      </c>
      <c r="C11" s="5" t="s">
        <v>677</v>
      </c>
      <c r="D11" s="51" t="s">
        <v>678</v>
      </c>
      <c r="E11" s="8">
        <v>35.0</v>
      </c>
      <c r="F11" s="52">
        <v>0.0</v>
      </c>
      <c r="G11" s="8">
        <v>0.0</v>
      </c>
      <c r="H11" s="8">
        <v>35.0</v>
      </c>
      <c r="I11" s="8">
        <v>35.0</v>
      </c>
      <c r="J11" s="8">
        <v>0.0</v>
      </c>
      <c r="K11" s="8">
        <v>0.0</v>
      </c>
      <c r="L11" s="42"/>
    </row>
    <row r="12" ht="22.5" customHeight="1">
      <c r="A12" s="4">
        <v>2.6103654E7</v>
      </c>
      <c r="B12" s="5" t="s">
        <v>683</v>
      </c>
      <c r="C12" s="5" t="s">
        <v>684</v>
      </c>
      <c r="D12" s="51" t="s">
        <v>685</v>
      </c>
      <c r="E12" s="8">
        <v>19.0</v>
      </c>
      <c r="F12" s="52">
        <v>0.0</v>
      </c>
      <c r="G12" s="8">
        <v>0.0</v>
      </c>
      <c r="H12" s="8">
        <v>0.0</v>
      </c>
      <c r="I12" s="8">
        <v>19.0</v>
      </c>
      <c r="J12" s="8">
        <v>0.0</v>
      </c>
      <c r="K12" s="8">
        <v>0.0</v>
      </c>
      <c r="L12" s="42"/>
    </row>
    <row r="13" ht="22.5" customHeight="1">
      <c r="A13" s="4">
        <v>2.6103387E7</v>
      </c>
      <c r="B13" s="5" t="s">
        <v>688</v>
      </c>
      <c r="C13" s="5" t="s">
        <v>689</v>
      </c>
      <c r="D13" s="51" t="s">
        <v>666</v>
      </c>
      <c r="E13" s="8">
        <v>16.0</v>
      </c>
      <c r="F13" s="52">
        <v>0.0</v>
      </c>
      <c r="G13" s="8">
        <v>0.0</v>
      </c>
      <c r="H13" s="8">
        <v>0.0</v>
      </c>
      <c r="I13" s="8">
        <v>16.0</v>
      </c>
      <c r="J13" s="8">
        <v>0.0</v>
      </c>
      <c r="K13" s="8">
        <v>0.0</v>
      </c>
      <c r="L13" s="42"/>
    </row>
    <row r="14" ht="22.5" customHeight="1">
      <c r="A14" s="4">
        <v>2.1146541E7</v>
      </c>
      <c r="B14" s="5" t="s">
        <v>696</v>
      </c>
      <c r="C14" s="5" t="s">
        <v>697</v>
      </c>
      <c r="D14" s="51" t="s">
        <v>698</v>
      </c>
      <c r="E14" s="8">
        <v>16.0</v>
      </c>
      <c r="F14" s="52">
        <v>0.0</v>
      </c>
      <c r="G14" s="8">
        <v>0.0</v>
      </c>
      <c r="H14" s="8">
        <v>15.0</v>
      </c>
      <c r="I14" s="8">
        <v>16.0</v>
      </c>
      <c r="J14" s="8">
        <v>0.0</v>
      </c>
      <c r="K14" s="8">
        <v>0.0</v>
      </c>
      <c r="L14" s="42"/>
    </row>
    <row r="15" ht="22.5" customHeight="1">
      <c r="A15" s="4">
        <v>4.3783402E7</v>
      </c>
      <c r="B15" s="5" t="s">
        <v>701</v>
      </c>
      <c r="C15" s="5" t="s">
        <v>702</v>
      </c>
      <c r="D15" s="51" t="s">
        <v>703</v>
      </c>
      <c r="E15" s="8">
        <v>13.0</v>
      </c>
      <c r="F15" s="52">
        <v>0.0</v>
      </c>
      <c r="G15" s="8">
        <v>0.0</v>
      </c>
      <c r="H15" s="8">
        <v>11.0</v>
      </c>
      <c r="I15" s="8">
        <v>13.0</v>
      </c>
      <c r="J15" s="8">
        <v>0.0</v>
      </c>
      <c r="K15" s="8">
        <v>0.0</v>
      </c>
      <c r="L15" s="42"/>
    </row>
    <row r="16" ht="22.5" customHeight="1">
      <c r="A16" s="4">
        <v>4.1466107E7</v>
      </c>
      <c r="B16" s="5" t="s">
        <v>706</v>
      </c>
      <c r="C16" s="5" t="s">
        <v>707</v>
      </c>
      <c r="D16" s="51" t="s">
        <v>708</v>
      </c>
      <c r="E16" s="8">
        <v>1.0</v>
      </c>
      <c r="F16" s="52">
        <v>0.0</v>
      </c>
      <c r="G16" s="8">
        <v>0.0</v>
      </c>
      <c r="H16" s="8">
        <v>0.0</v>
      </c>
      <c r="I16" s="8">
        <v>1.0</v>
      </c>
      <c r="J16" s="8">
        <v>0.0</v>
      </c>
      <c r="K16" s="8">
        <v>0.0</v>
      </c>
      <c r="L16" s="42"/>
    </row>
    <row r="17" ht="22.5" customHeight="1">
      <c r="A17" s="4">
        <v>3.6350046E7</v>
      </c>
      <c r="B17" s="5" t="s">
        <v>713</v>
      </c>
      <c r="C17" s="5" t="s">
        <v>714</v>
      </c>
      <c r="D17" s="51" t="s">
        <v>715</v>
      </c>
      <c r="E17" s="8">
        <v>0.0</v>
      </c>
      <c r="F17" s="52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42"/>
    </row>
    <row r="18" ht="22.5" customHeight="1">
      <c r="A18" s="4">
        <v>2.630944E7</v>
      </c>
      <c r="B18" s="5" t="s">
        <v>720</v>
      </c>
      <c r="C18" s="5" t="s">
        <v>721</v>
      </c>
      <c r="D18" s="51" t="s">
        <v>722</v>
      </c>
      <c r="E18" s="8">
        <v>0.0</v>
      </c>
      <c r="F18" s="52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42"/>
    </row>
    <row r="19" ht="22.5" customHeight="1">
      <c r="A19" s="4">
        <v>2.6429255E7</v>
      </c>
      <c r="B19" s="5" t="s">
        <v>726</v>
      </c>
      <c r="C19" s="5" t="s">
        <v>728</v>
      </c>
      <c r="D19" s="51" t="s">
        <v>729</v>
      </c>
      <c r="E19" s="8">
        <v>0.0</v>
      </c>
      <c r="F19" s="52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42"/>
    </row>
    <row r="20" ht="22.5" customHeight="1">
      <c r="A20" s="4">
        <v>3.5132436E7</v>
      </c>
      <c r="B20" s="5" t="s">
        <v>731</v>
      </c>
      <c r="C20" s="5" t="s">
        <v>733</v>
      </c>
      <c r="D20" s="51" t="s">
        <v>734</v>
      </c>
      <c r="E20" s="8">
        <v>0.0</v>
      </c>
      <c r="F20" s="52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42"/>
    </row>
    <row r="21" ht="22.5" customHeight="1">
      <c r="A21" s="4">
        <v>3.6650696E7</v>
      </c>
      <c r="B21" s="5" t="s">
        <v>735</v>
      </c>
      <c r="C21" s="5" t="s">
        <v>737</v>
      </c>
      <c r="D21" s="51" t="s">
        <v>739</v>
      </c>
      <c r="E21" s="8">
        <v>0.0</v>
      </c>
      <c r="F21" s="52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42"/>
    </row>
    <row r="22" ht="22.5" customHeight="1">
      <c r="A22" s="4">
        <v>3.3317074E7</v>
      </c>
      <c r="B22" s="5" t="s">
        <v>740</v>
      </c>
      <c r="C22" s="5" t="s">
        <v>741</v>
      </c>
      <c r="D22" s="51" t="s">
        <v>743</v>
      </c>
      <c r="E22" s="8">
        <v>0.0</v>
      </c>
      <c r="F22" s="52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42"/>
    </row>
    <row r="23" ht="22.5" customHeight="1">
      <c r="A23" s="4">
        <v>2.6427865E7</v>
      </c>
      <c r="B23" s="5" t="s">
        <v>745</v>
      </c>
      <c r="C23" s="5" t="s">
        <v>747</v>
      </c>
      <c r="D23" s="51" t="s">
        <v>748</v>
      </c>
      <c r="E23" s="8">
        <v>0.0</v>
      </c>
      <c r="F23" s="52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42"/>
    </row>
    <row r="24" ht="22.5" customHeight="1">
      <c r="A24" s="4">
        <v>3.6543294E7</v>
      </c>
      <c r="B24" s="5" t="s">
        <v>752</v>
      </c>
      <c r="C24" s="5" t="s">
        <v>753</v>
      </c>
      <c r="D24" s="51" t="s">
        <v>754</v>
      </c>
      <c r="E24" s="8">
        <v>0.0</v>
      </c>
      <c r="F24" s="52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42"/>
    </row>
    <row r="25" ht="22.5" customHeight="1">
      <c r="A25" s="4">
        <v>4.4385822E7</v>
      </c>
      <c r="B25" s="5" t="s">
        <v>759</v>
      </c>
      <c r="C25" s="5" t="s">
        <v>760</v>
      </c>
      <c r="D25" s="51" t="s">
        <v>633</v>
      </c>
      <c r="E25" s="8">
        <v>0.0</v>
      </c>
      <c r="F25" s="52">
        <v>0.0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42"/>
    </row>
    <row r="26" ht="22.5" customHeight="1">
      <c r="A26" s="4">
        <v>4.2731505E7</v>
      </c>
      <c r="B26" s="5" t="s">
        <v>761</v>
      </c>
      <c r="C26" s="5" t="s">
        <v>762</v>
      </c>
      <c r="D26" s="51" t="s">
        <v>763</v>
      </c>
      <c r="E26" s="8">
        <v>0.0</v>
      </c>
      <c r="F26" s="52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  <c r="L26" s="42"/>
    </row>
    <row r="27" ht="22.5" customHeight="1">
      <c r="A27" s="4">
        <v>3.2967036E7</v>
      </c>
      <c r="B27" s="5" t="s">
        <v>766</v>
      </c>
      <c r="C27" s="5" t="s">
        <v>767</v>
      </c>
      <c r="D27" s="51" t="s">
        <v>768</v>
      </c>
      <c r="E27" s="8">
        <v>0.0</v>
      </c>
      <c r="F27" s="52">
        <v>0.0</v>
      </c>
      <c r="G27" s="8">
        <v>0.0</v>
      </c>
      <c r="H27" s="8">
        <v>0.0</v>
      </c>
      <c r="I27" s="8">
        <v>0.0</v>
      </c>
      <c r="J27" s="8">
        <v>0.0</v>
      </c>
      <c r="K27" s="8">
        <v>0.0</v>
      </c>
      <c r="L27" s="42"/>
    </row>
    <row r="28" ht="22.5" customHeight="1">
      <c r="A28" s="4">
        <v>3.7601346E7</v>
      </c>
      <c r="B28" s="5" t="s">
        <v>771</v>
      </c>
      <c r="C28" s="5" t="s">
        <v>772</v>
      </c>
      <c r="D28" s="51" t="s">
        <v>773</v>
      </c>
      <c r="E28" s="8">
        <v>0.0</v>
      </c>
      <c r="F28" s="52">
        <v>0.0</v>
      </c>
      <c r="G28" s="8">
        <v>0.0</v>
      </c>
      <c r="H28" s="8">
        <v>0.0</v>
      </c>
      <c r="I28" s="8">
        <v>0.0</v>
      </c>
      <c r="J28" s="8">
        <v>0.0</v>
      </c>
      <c r="K28" s="8">
        <v>0.0</v>
      </c>
      <c r="L28" s="42"/>
    </row>
    <row r="29" ht="22.5" customHeight="1">
      <c r="A29" s="4">
        <v>2.6025084E7</v>
      </c>
      <c r="B29" s="5" t="s">
        <v>776</v>
      </c>
      <c r="C29" s="5" t="s">
        <v>777</v>
      </c>
      <c r="D29" s="51" t="s">
        <v>778</v>
      </c>
      <c r="E29" s="8">
        <v>0.0</v>
      </c>
      <c r="F29" s="52">
        <v>0.0</v>
      </c>
      <c r="G29" s="8">
        <v>0.0</v>
      </c>
      <c r="H29" s="8">
        <v>0.0</v>
      </c>
      <c r="I29" s="8">
        <v>0.0</v>
      </c>
      <c r="J29" s="8">
        <v>0.0</v>
      </c>
      <c r="K29" s="8">
        <v>0.0</v>
      </c>
      <c r="L29" s="42"/>
    </row>
    <row r="30" ht="22.5" customHeight="1">
      <c r="A30" s="4">
        <v>2.642912E7</v>
      </c>
      <c r="B30" s="5" t="s">
        <v>779</v>
      </c>
      <c r="C30" s="5" t="s">
        <v>780</v>
      </c>
      <c r="D30" s="51" t="s">
        <v>633</v>
      </c>
      <c r="E30" s="8">
        <v>0.0</v>
      </c>
      <c r="F30" s="52">
        <v>0.0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  <c r="L30" s="42"/>
    </row>
    <row r="31" ht="22.5" customHeight="1">
      <c r="A31" s="4">
        <v>3.2147832E7</v>
      </c>
      <c r="B31" s="5" t="s">
        <v>785</v>
      </c>
      <c r="C31" s="5" t="s">
        <v>786</v>
      </c>
      <c r="D31" s="51" t="s">
        <v>633</v>
      </c>
      <c r="E31" s="8">
        <v>0.0</v>
      </c>
      <c r="F31" s="52">
        <v>0.0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42"/>
    </row>
    <row r="32" ht="22.5" customHeight="1">
      <c r="A32" s="4">
        <v>2.6198376E7</v>
      </c>
      <c r="B32" s="5" t="s">
        <v>789</v>
      </c>
      <c r="C32" s="5" t="s">
        <v>791</v>
      </c>
      <c r="D32" s="51" t="s">
        <v>793</v>
      </c>
      <c r="E32" s="8">
        <v>0.0</v>
      </c>
      <c r="F32" s="52">
        <v>6650.0</v>
      </c>
      <c r="G32" s="8">
        <v>0.0</v>
      </c>
      <c r="H32" s="8">
        <v>0.0</v>
      </c>
      <c r="I32" s="8">
        <v>0.0</v>
      </c>
      <c r="J32" s="8">
        <v>0.0</v>
      </c>
      <c r="K32" s="8">
        <v>0.0</v>
      </c>
      <c r="L32" s="42"/>
    </row>
    <row r="33" ht="22.5" customHeight="1">
      <c r="A33" s="4">
        <v>3.7152255E7</v>
      </c>
      <c r="B33" s="5" t="s">
        <v>794</v>
      </c>
      <c r="C33" s="5" t="s">
        <v>796</v>
      </c>
      <c r="D33" s="53" t="s">
        <v>798</v>
      </c>
      <c r="E33" s="8">
        <v>0.0</v>
      </c>
      <c r="F33" s="52">
        <v>4772.0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  <c r="L33" s="42"/>
    </row>
    <row r="34" ht="22.5" customHeight="1">
      <c r="A34" s="4">
        <v>3.4043293E7</v>
      </c>
      <c r="B34" s="5" t="s">
        <v>801</v>
      </c>
      <c r="C34" s="5" t="s">
        <v>802</v>
      </c>
      <c r="D34" s="53" t="s">
        <v>803</v>
      </c>
      <c r="E34" s="8">
        <v>0.0</v>
      </c>
      <c r="F34" s="52">
        <v>4648.0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  <c r="L34" s="42"/>
    </row>
    <row r="35" ht="22.5" customHeight="1">
      <c r="A35" s="4">
        <v>2.6429189E7</v>
      </c>
      <c r="B35" s="5" t="s">
        <v>806</v>
      </c>
      <c r="C35" s="5" t="s">
        <v>807</v>
      </c>
      <c r="D35" s="51" t="s">
        <v>808</v>
      </c>
      <c r="E35" s="8">
        <v>0.0</v>
      </c>
      <c r="F35" s="52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  <c r="L35" s="42"/>
    </row>
    <row r="36" ht="22.5" customHeight="1">
      <c r="A36" s="4">
        <v>4.4055127E7</v>
      </c>
      <c r="B36" s="5" t="s">
        <v>809</v>
      </c>
      <c r="C36" s="5" t="s">
        <v>810</v>
      </c>
      <c r="D36" s="53" t="s">
        <v>633</v>
      </c>
      <c r="E36" s="8">
        <v>0.0</v>
      </c>
      <c r="F36" s="52">
        <v>0.0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  <c r="L36" s="42"/>
    </row>
    <row r="37" ht="22.5" customHeight="1">
      <c r="A37" s="31" t="s">
        <v>123</v>
      </c>
      <c r="B37" s="32"/>
      <c r="C37" s="32"/>
      <c r="D37" s="58">
        <f t="shared" ref="D37:K37" si="1">SUM(D2:D36)</f>
        <v>0</v>
      </c>
      <c r="E37" s="34">
        <f t="shared" si="1"/>
        <v>6575</v>
      </c>
      <c r="F37" s="33">
        <f t="shared" si="1"/>
        <v>16070</v>
      </c>
      <c r="G37" s="34">
        <f t="shared" si="1"/>
        <v>0</v>
      </c>
      <c r="H37" s="34">
        <f t="shared" si="1"/>
        <v>3976</v>
      </c>
      <c r="I37" s="34">
        <f t="shared" si="1"/>
        <v>6575</v>
      </c>
      <c r="J37" s="34">
        <f t="shared" si="1"/>
        <v>0</v>
      </c>
      <c r="K37" s="34">
        <f t="shared" si="1"/>
        <v>0</v>
      </c>
      <c r="L37" s="59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</sheetData>
  <dataValidations>
    <dataValidation type="custom" allowBlank="1" showDropDown="1" sqref="A2:A37 E2:K37">
      <formula1>AND(ISNUMBER(A2),(NOT(OR(NOT(ISERROR(DATEVALUE(A2))), AND(ISNUMBER(A2), LEFT(CELL("format", A2))="D")))))</formula1>
    </dataValidation>
    <dataValidation allowBlank="1" showDropDown="1" sqref="D2:D37"/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54"/>
    </row>
    <row r="2" ht="22.5" customHeight="1">
      <c r="A2" s="4">
        <v>2225826.0</v>
      </c>
      <c r="B2" s="5" t="s">
        <v>641</v>
      </c>
      <c r="C2" s="5" t="s">
        <v>644</v>
      </c>
      <c r="D2" s="7">
        <v>26323.0</v>
      </c>
      <c r="E2" s="8">
        <v>2264.0</v>
      </c>
      <c r="F2" s="8">
        <v>0.0</v>
      </c>
      <c r="G2" s="8">
        <v>0.0</v>
      </c>
      <c r="H2" s="8">
        <v>184.0</v>
      </c>
      <c r="I2" s="8">
        <v>2264.0</v>
      </c>
      <c r="J2" s="8">
        <v>0.0</v>
      </c>
      <c r="K2" s="8">
        <v>0.0</v>
      </c>
      <c r="L2" s="55"/>
    </row>
    <row r="3" ht="22.5" customHeight="1">
      <c r="A3" s="4">
        <v>3.5617239E7</v>
      </c>
      <c r="B3" s="5" t="s">
        <v>652</v>
      </c>
      <c r="C3" s="5" t="s">
        <v>653</v>
      </c>
      <c r="D3" s="7">
        <v>0.0</v>
      </c>
      <c r="E3" s="8">
        <v>922.0</v>
      </c>
      <c r="F3" s="8">
        <v>0.0</v>
      </c>
      <c r="G3" s="8">
        <v>0.0</v>
      </c>
      <c r="H3" s="8">
        <v>906.0</v>
      </c>
      <c r="I3" s="8">
        <v>907.0</v>
      </c>
      <c r="J3" s="8">
        <v>15.0</v>
      </c>
      <c r="K3" s="8">
        <v>15.0</v>
      </c>
      <c r="L3" s="55"/>
    </row>
    <row r="4" ht="22.5" customHeight="1">
      <c r="A4" s="4">
        <v>2.4674418E7</v>
      </c>
      <c r="B4" s="5" t="s">
        <v>661</v>
      </c>
      <c r="C4" s="5" t="s">
        <v>662</v>
      </c>
      <c r="D4" s="7">
        <v>31957.0</v>
      </c>
      <c r="E4" s="8">
        <v>742.0</v>
      </c>
      <c r="F4" s="8">
        <v>0.0</v>
      </c>
      <c r="G4" s="8">
        <v>0.0</v>
      </c>
      <c r="H4" s="8">
        <v>0.0</v>
      </c>
      <c r="I4" s="8">
        <v>742.0</v>
      </c>
      <c r="J4" s="8">
        <v>0.0</v>
      </c>
      <c r="K4" s="8">
        <v>0.0</v>
      </c>
      <c r="L4" s="55"/>
    </row>
    <row r="5" ht="22.5" customHeight="1">
      <c r="A5" s="4">
        <v>3.0956614E7</v>
      </c>
      <c r="B5" s="5" t="s">
        <v>674</v>
      </c>
      <c r="C5" s="5" t="s">
        <v>675</v>
      </c>
      <c r="D5" s="7">
        <v>19544.0</v>
      </c>
      <c r="E5" s="8">
        <v>383.0</v>
      </c>
      <c r="F5" s="8">
        <v>0.0</v>
      </c>
      <c r="G5" s="8">
        <v>0.0</v>
      </c>
      <c r="H5" s="8">
        <v>80.0</v>
      </c>
      <c r="I5" s="8">
        <v>334.0</v>
      </c>
      <c r="J5" s="8">
        <v>4.0</v>
      </c>
      <c r="K5" s="8">
        <v>49.0</v>
      </c>
      <c r="L5" s="55"/>
    </row>
    <row r="6" ht="22.5" customHeight="1">
      <c r="A6" s="4">
        <v>4814633.0</v>
      </c>
      <c r="B6" s="5" t="s">
        <v>681</v>
      </c>
      <c r="C6" s="5" t="s">
        <v>682</v>
      </c>
      <c r="D6" s="8">
        <v>25000.0</v>
      </c>
      <c r="E6" s="8">
        <v>331.0</v>
      </c>
      <c r="F6" s="8">
        <v>24669.0</v>
      </c>
      <c r="G6" s="8">
        <v>1.32</v>
      </c>
      <c r="H6" s="8">
        <v>326.0</v>
      </c>
      <c r="I6" s="8">
        <v>331.0</v>
      </c>
      <c r="J6" s="8">
        <v>0.0</v>
      </c>
      <c r="K6" s="8">
        <v>0.0</v>
      </c>
      <c r="L6" s="55"/>
    </row>
    <row r="7" ht="22.5" customHeight="1">
      <c r="A7" s="4">
        <v>3.6598139E7</v>
      </c>
      <c r="B7" s="5" t="s">
        <v>690</v>
      </c>
      <c r="C7" s="5" t="s">
        <v>691</v>
      </c>
      <c r="D7" s="7">
        <v>11125.0</v>
      </c>
      <c r="E7" s="8">
        <v>133.0</v>
      </c>
      <c r="F7" s="8">
        <v>0.0</v>
      </c>
      <c r="G7" s="8">
        <v>0.0</v>
      </c>
      <c r="H7" s="8">
        <v>2.0</v>
      </c>
      <c r="I7" s="8">
        <v>133.0</v>
      </c>
      <c r="J7" s="8">
        <v>0.0</v>
      </c>
      <c r="K7" s="8">
        <v>0.0</v>
      </c>
      <c r="L7" s="55"/>
    </row>
    <row r="8" ht="22.5" customHeight="1">
      <c r="A8" s="4">
        <v>3.5434575E7</v>
      </c>
      <c r="B8" s="5" t="s">
        <v>694</v>
      </c>
      <c r="C8" s="5" t="s">
        <v>695</v>
      </c>
      <c r="D8" s="7">
        <v>5487.0</v>
      </c>
      <c r="E8" s="8">
        <v>89.0</v>
      </c>
      <c r="F8" s="8">
        <v>0.0</v>
      </c>
      <c r="G8" s="8">
        <v>0.0</v>
      </c>
      <c r="H8" s="8">
        <v>0.0</v>
      </c>
      <c r="I8" s="8">
        <v>89.0</v>
      </c>
      <c r="J8" s="8">
        <v>0.0</v>
      </c>
      <c r="K8" s="8">
        <v>0.0</v>
      </c>
      <c r="L8" s="55"/>
    </row>
    <row r="9" ht="22.5" customHeight="1">
      <c r="A9" s="4">
        <v>2.4482073E7</v>
      </c>
      <c r="B9" s="5" t="s">
        <v>704</v>
      </c>
      <c r="C9" s="5" t="s">
        <v>705</v>
      </c>
      <c r="D9" s="7">
        <v>41.0</v>
      </c>
      <c r="E9" s="8">
        <v>41.0</v>
      </c>
      <c r="F9" s="8">
        <v>0.0</v>
      </c>
      <c r="G9" s="8">
        <v>0.0</v>
      </c>
      <c r="H9" s="8">
        <v>40.0</v>
      </c>
      <c r="I9" s="8">
        <v>41.0</v>
      </c>
      <c r="J9" s="8">
        <v>0.0</v>
      </c>
      <c r="K9" s="8">
        <v>0.0</v>
      </c>
      <c r="L9" s="55"/>
    </row>
    <row r="10" ht="22.5" customHeight="1">
      <c r="A10" s="4">
        <v>3.8565503E7</v>
      </c>
      <c r="B10" s="5" t="s">
        <v>711</v>
      </c>
      <c r="C10" s="5" t="s">
        <v>712</v>
      </c>
      <c r="D10" s="7">
        <v>3808.0</v>
      </c>
      <c r="E10" s="8">
        <v>14.0</v>
      </c>
      <c r="F10" s="8">
        <v>0.0</v>
      </c>
      <c r="G10" s="8">
        <v>0.0</v>
      </c>
      <c r="H10" s="8">
        <v>8.0</v>
      </c>
      <c r="I10" s="8">
        <v>14.0</v>
      </c>
      <c r="J10" s="8">
        <v>0.0</v>
      </c>
      <c r="K10" s="8">
        <v>0.0</v>
      </c>
      <c r="L10" s="55"/>
    </row>
    <row r="11" ht="22.5" customHeight="1">
      <c r="A11" s="4">
        <v>3.4858435E7</v>
      </c>
      <c r="B11" s="5" t="s">
        <v>718</v>
      </c>
      <c r="C11" s="5" t="s">
        <v>719</v>
      </c>
      <c r="D11" s="7">
        <v>2936.0</v>
      </c>
      <c r="E11" s="8">
        <v>10.0</v>
      </c>
      <c r="F11" s="8">
        <v>0.0</v>
      </c>
      <c r="G11" s="8">
        <v>0.0</v>
      </c>
      <c r="H11" s="8">
        <v>1.0</v>
      </c>
      <c r="I11" s="8">
        <v>10.0</v>
      </c>
      <c r="J11" s="8">
        <v>0.0</v>
      </c>
      <c r="K11" s="8">
        <v>0.0</v>
      </c>
      <c r="L11" s="57"/>
    </row>
    <row r="12" ht="22.5" customHeight="1">
      <c r="A12" s="4">
        <v>2.2706284E7</v>
      </c>
      <c r="B12" s="5" t="s">
        <v>725</v>
      </c>
      <c r="C12" s="5" t="s">
        <v>727</v>
      </c>
      <c r="D12" s="7">
        <v>9590.0</v>
      </c>
      <c r="E12" s="8">
        <v>8.0</v>
      </c>
      <c r="F12" s="8">
        <v>0.0</v>
      </c>
      <c r="G12" s="8">
        <v>0.0</v>
      </c>
      <c r="H12" s="8">
        <v>0.0</v>
      </c>
      <c r="I12" s="8">
        <v>8.0</v>
      </c>
      <c r="J12" s="8">
        <v>0.0</v>
      </c>
      <c r="K12" s="8">
        <v>0.0</v>
      </c>
      <c r="L12" s="55"/>
    </row>
    <row r="13" ht="22.5" customHeight="1">
      <c r="A13" s="4">
        <v>2.3757639E7</v>
      </c>
      <c r="B13" s="5" t="s">
        <v>730</v>
      </c>
      <c r="C13" s="5" t="s">
        <v>732</v>
      </c>
      <c r="D13" s="7">
        <v>10022.0</v>
      </c>
      <c r="E13" s="8">
        <v>5.0</v>
      </c>
      <c r="F13" s="8">
        <v>0.0</v>
      </c>
      <c r="G13" s="8">
        <v>0.0</v>
      </c>
      <c r="H13" s="8">
        <v>0.0</v>
      </c>
      <c r="I13" s="8">
        <v>5.0</v>
      </c>
      <c r="J13" s="8">
        <v>0.0</v>
      </c>
      <c r="K13" s="8">
        <v>0.0</v>
      </c>
      <c r="L13" s="55"/>
    </row>
    <row r="14" ht="22.5" customHeight="1">
      <c r="A14" s="4">
        <v>3.8891209E7</v>
      </c>
      <c r="B14" s="5" t="s">
        <v>736</v>
      </c>
      <c r="C14" s="5" t="s">
        <v>738</v>
      </c>
      <c r="D14" s="7">
        <v>34408.0</v>
      </c>
      <c r="E14" s="8">
        <v>3.0</v>
      </c>
      <c r="F14" s="8">
        <v>0.0</v>
      </c>
      <c r="G14" s="8">
        <v>0.0</v>
      </c>
      <c r="H14" s="8">
        <v>1.0</v>
      </c>
      <c r="I14" s="8">
        <v>3.0</v>
      </c>
      <c r="J14" s="8">
        <v>0.0</v>
      </c>
      <c r="K14" s="8">
        <v>0.0</v>
      </c>
      <c r="L14" s="55"/>
    </row>
    <row r="15" ht="22.5" customHeight="1">
      <c r="A15" s="4">
        <v>2220898.0</v>
      </c>
      <c r="B15" s="5" t="s">
        <v>742</v>
      </c>
      <c r="C15" s="5" t="s">
        <v>744</v>
      </c>
      <c r="D15" s="7">
        <v>14139.0</v>
      </c>
      <c r="E15" s="8">
        <v>1.0</v>
      </c>
      <c r="F15" s="8">
        <v>0.0</v>
      </c>
      <c r="G15" s="8">
        <v>0.0</v>
      </c>
      <c r="H15" s="8">
        <v>0.0</v>
      </c>
      <c r="I15" s="8">
        <v>1.0</v>
      </c>
      <c r="J15" s="8">
        <v>0.0</v>
      </c>
      <c r="K15" s="8">
        <v>0.0</v>
      </c>
      <c r="L15" s="55"/>
    </row>
    <row r="16" ht="22.5" customHeight="1">
      <c r="A16" s="4">
        <v>3.4211134E7</v>
      </c>
      <c r="B16" s="5" t="s">
        <v>750</v>
      </c>
      <c r="C16" s="5" t="s">
        <v>751</v>
      </c>
      <c r="D16" s="8">
        <v>16670.0</v>
      </c>
      <c r="E16" s="8">
        <v>1.0</v>
      </c>
      <c r="F16" s="8">
        <v>16669.0</v>
      </c>
      <c r="G16" s="8">
        <v>0.01</v>
      </c>
      <c r="H16" s="8">
        <v>0.0</v>
      </c>
      <c r="I16" s="8">
        <v>1.0</v>
      </c>
      <c r="J16" s="8">
        <v>0.0</v>
      </c>
      <c r="K16" s="8">
        <v>0.0</v>
      </c>
      <c r="L16" s="55"/>
    </row>
    <row r="17" ht="22.5" customHeight="1">
      <c r="A17" s="4">
        <v>3.1584671E7</v>
      </c>
      <c r="B17" s="5" t="s">
        <v>757</v>
      </c>
      <c r="C17" s="5" t="s">
        <v>758</v>
      </c>
      <c r="D17" s="7">
        <v>5483.0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55"/>
    </row>
    <row r="18" ht="22.5" customHeight="1">
      <c r="A18" s="4">
        <v>3.5273914E7</v>
      </c>
      <c r="B18" s="5" t="s">
        <v>764</v>
      </c>
      <c r="C18" s="5" t="s">
        <v>765</v>
      </c>
      <c r="D18" s="7">
        <v>2727.0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55"/>
    </row>
    <row r="19" ht="22.5" customHeight="1">
      <c r="A19" s="4">
        <v>3.6314411E7</v>
      </c>
      <c r="B19" s="5" t="s">
        <v>769</v>
      </c>
      <c r="C19" s="5" t="s">
        <v>770</v>
      </c>
      <c r="D19" s="7">
        <v>4731.0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55"/>
    </row>
    <row r="20" ht="22.5" customHeight="1">
      <c r="A20" s="4">
        <v>4814053.0</v>
      </c>
      <c r="B20" s="5" t="s">
        <v>774</v>
      </c>
      <c r="C20" s="5" t="s">
        <v>775</v>
      </c>
      <c r="D20" s="7">
        <v>9417.0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55"/>
    </row>
    <row r="21" ht="22.5" customHeight="1">
      <c r="A21" s="4">
        <v>3.8561556E7</v>
      </c>
      <c r="B21" s="5" t="s">
        <v>781</v>
      </c>
      <c r="C21" s="5" t="s">
        <v>782</v>
      </c>
      <c r="D21" s="7">
        <v>2196.0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</row>
    <row r="22" ht="22.5" customHeight="1">
      <c r="A22" s="4">
        <v>2.5611199E7</v>
      </c>
      <c r="B22" s="5" t="s">
        <v>787</v>
      </c>
      <c r="C22" s="5" t="s">
        <v>788</v>
      </c>
      <c r="D22" s="7">
        <v>852.0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55"/>
    </row>
    <row r="23" ht="22.5" customHeight="1">
      <c r="A23" s="4">
        <v>2071197.0</v>
      </c>
      <c r="B23" s="5" t="s">
        <v>795</v>
      </c>
      <c r="C23" s="5" t="s">
        <v>797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</row>
    <row r="24" ht="22.5" customHeight="1">
      <c r="A24" s="31" t="s">
        <v>123</v>
      </c>
      <c r="B24" s="32"/>
      <c r="C24" s="32"/>
      <c r="D24" s="34">
        <f t="shared" ref="D24:K24" si="1">SUM(D2:D23)</f>
        <v>236456</v>
      </c>
      <c r="E24" s="34">
        <f t="shared" si="1"/>
        <v>4947</v>
      </c>
      <c r="F24" s="34">
        <f t="shared" si="1"/>
        <v>41338</v>
      </c>
      <c r="G24" s="34">
        <f t="shared" si="1"/>
        <v>1.33</v>
      </c>
      <c r="H24" s="34">
        <f t="shared" si="1"/>
        <v>1548</v>
      </c>
      <c r="I24" s="34">
        <f t="shared" si="1"/>
        <v>4883</v>
      </c>
      <c r="J24" s="34">
        <f t="shared" si="1"/>
        <v>19</v>
      </c>
      <c r="K24" s="34">
        <f t="shared" si="1"/>
        <v>64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</sheetData>
  <dataValidations>
    <dataValidation type="custom" allowBlank="1" showDropDown="1" sqref="A2:A24 D2:K2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54"/>
    </row>
    <row r="2" ht="22.5" customHeight="1">
      <c r="A2" s="5">
        <v>5460189.0</v>
      </c>
      <c r="B2" s="5" t="s">
        <v>746</v>
      </c>
      <c r="C2" s="5" t="s">
        <v>749</v>
      </c>
      <c r="D2" s="28">
        <v>3019.0</v>
      </c>
      <c r="E2" s="26">
        <v>665.0</v>
      </c>
      <c r="F2" s="26">
        <v>0.0</v>
      </c>
      <c r="G2" s="26">
        <v>0.0</v>
      </c>
      <c r="H2" s="26">
        <v>462.0</v>
      </c>
      <c r="I2" s="26">
        <v>665.0</v>
      </c>
      <c r="J2" s="26">
        <v>0.0</v>
      </c>
      <c r="K2" s="26">
        <v>0.0</v>
      </c>
      <c r="L2" s="55"/>
    </row>
    <row r="3" ht="22.5" customHeight="1">
      <c r="A3" s="5">
        <v>2224040.0</v>
      </c>
      <c r="B3" s="5" t="s">
        <v>755</v>
      </c>
      <c r="C3" s="5" t="s">
        <v>756</v>
      </c>
      <c r="D3" s="28">
        <v>151846.0</v>
      </c>
      <c r="E3" s="26">
        <v>281.0</v>
      </c>
      <c r="F3" s="26">
        <v>0.0</v>
      </c>
      <c r="G3" s="26">
        <v>0.0</v>
      </c>
      <c r="H3" s="26">
        <v>113.0</v>
      </c>
      <c r="I3" s="26">
        <v>268.0</v>
      </c>
      <c r="J3" s="26">
        <v>13.0</v>
      </c>
      <c r="K3" s="26">
        <v>13.0</v>
      </c>
    </row>
    <row r="4" ht="22.5" customHeight="1">
      <c r="A4" s="31" t="s">
        <v>123</v>
      </c>
      <c r="B4" s="32"/>
      <c r="C4" s="32"/>
      <c r="D4" s="32">
        <f t="shared" ref="D4:K4" si="1">SUM(D2:D3)</f>
        <v>154865</v>
      </c>
      <c r="E4" s="32">
        <f t="shared" si="1"/>
        <v>946</v>
      </c>
      <c r="F4" s="32">
        <f t="shared" si="1"/>
        <v>0</v>
      </c>
      <c r="G4" s="32">
        <f t="shared" si="1"/>
        <v>0</v>
      </c>
      <c r="H4" s="32">
        <f t="shared" si="1"/>
        <v>575</v>
      </c>
      <c r="I4" s="32">
        <f t="shared" si="1"/>
        <v>933</v>
      </c>
      <c r="J4" s="32">
        <f t="shared" si="1"/>
        <v>13</v>
      </c>
      <c r="K4" s="32">
        <f t="shared" si="1"/>
        <v>13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54"/>
    </row>
    <row r="2" ht="22.5" customHeight="1">
      <c r="A2" s="4">
        <v>5744219.0</v>
      </c>
      <c r="B2" s="5" t="s">
        <v>783</v>
      </c>
      <c r="C2" s="5" t="s">
        <v>784</v>
      </c>
      <c r="D2" s="7">
        <v>7367.0</v>
      </c>
      <c r="E2" s="8">
        <v>3292.0</v>
      </c>
      <c r="F2" s="8">
        <v>0.0</v>
      </c>
      <c r="G2" s="8">
        <v>0.0</v>
      </c>
      <c r="H2" s="8">
        <v>1029.0</v>
      </c>
      <c r="I2" s="8">
        <v>3292.0</v>
      </c>
      <c r="J2" s="8">
        <v>0.0</v>
      </c>
      <c r="K2" s="8">
        <v>0.0</v>
      </c>
      <c r="L2" s="55"/>
    </row>
    <row r="3" ht="22.5" customHeight="1">
      <c r="A3" s="4">
        <v>2.3564969E7</v>
      </c>
      <c r="B3" s="5" t="s">
        <v>790</v>
      </c>
      <c r="C3" s="5" t="s">
        <v>792</v>
      </c>
      <c r="D3" s="8">
        <v>0.0</v>
      </c>
      <c r="E3" s="8">
        <v>1606.0</v>
      </c>
      <c r="F3" s="8">
        <v>0.0</v>
      </c>
      <c r="G3" s="8">
        <v>0.0</v>
      </c>
      <c r="H3" s="8">
        <v>1557.0</v>
      </c>
      <c r="I3" s="8">
        <v>1557.0</v>
      </c>
      <c r="J3" s="8">
        <v>49.0</v>
      </c>
      <c r="K3" s="8">
        <v>49.0</v>
      </c>
      <c r="L3" s="55"/>
    </row>
    <row r="4" ht="22.5" customHeight="1">
      <c r="A4" s="4">
        <v>3.4402343E7</v>
      </c>
      <c r="B4" s="5" t="s">
        <v>799</v>
      </c>
      <c r="C4" s="5" t="s">
        <v>800</v>
      </c>
      <c r="D4" s="7">
        <v>8647.0</v>
      </c>
      <c r="E4" s="8">
        <v>802.0</v>
      </c>
      <c r="F4" s="8">
        <v>0.0</v>
      </c>
      <c r="G4" s="8">
        <v>0.0</v>
      </c>
      <c r="H4" s="8">
        <v>690.0</v>
      </c>
      <c r="I4" s="8">
        <v>802.0</v>
      </c>
      <c r="J4" s="8">
        <v>0.0</v>
      </c>
      <c r="K4" s="8">
        <v>0.0</v>
      </c>
      <c r="L4" s="55"/>
    </row>
    <row r="5" ht="22.5" customHeight="1">
      <c r="A5" s="4">
        <v>2224070.0</v>
      </c>
      <c r="B5" s="5" t="s">
        <v>804</v>
      </c>
      <c r="C5" s="5" t="s">
        <v>805</v>
      </c>
      <c r="D5" s="8">
        <v>170315.0</v>
      </c>
      <c r="E5" s="8">
        <v>606.0</v>
      </c>
      <c r="F5" s="8">
        <v>169709.0</v>
      </c>
      <c r="G5" s="8">
        <v>0.36</v>
      </c>
      <c r="H5" s="8">
        <v>599.0</v>
      </c>
      <c r="I5" s="8">
        <v>606.0</v>
      </c>
      <c r="J5" s="8">
        <v>0.0</v>
      </c>
      <c r="K5" s="8">
        <v>0.0</v>
      </c>
      <c r="L5" s="55"/>
    </row>
    <row r="6" ht="22.5" customHeight="1">
      <c r="A6" s="4">
        <v>3.7852698E7</v>
      </c>
      <c r="B6" s="5" t="s">
        <v>811</v>
      </c>
      <c r="C6" s="5" t="s">
        <v>812</v>
      </c>
      <c r="D6" s="7">
        <v>934.0</v>
      </c>
      <c r="E6" s="8">
        <v>169.0</v>
      </c>
      <c r="F6" s="8">
        <v>0.0</v>
      </c>
      <c r="G6" s="8">
        <v>0.0</v>
      </c>
      <c r="H6" s="8">
        <v>105.0</v>
      </c>
      <c r="I6" s="8">
        <v>169.0</v>
      </c>
      <c r="J6" s="8">
        <v>0.0</v>
      </c>
      <c r="K6" s="8">
        <v>0.0</v>
      </c>
      <c r="L6" s="55"/>
    </row>
    <row r="7" ht="22.5" customHeight="1">
      <c r="A7" s="4">
        <v>2.6294559E7</v>
      </c>
      <c r="B7" s="5" t="s">
        <v>813</v>
      </c>
      <c r="C7" s="5" t="s">
        <v>814</v>
      </c>
      <c r="D7" s="8">
        <v>14135.0</v>
      </c>
      <c r="E7" s="8">
        <v>159.0</v>
      </c>
      <c r="F7" s="8">
        <v>13976.0</v>
      </c>
      <c r="G7" s="8">
        <v>1.12</v>
      </c>
      <c r="H7" s="8">
        <v>1.0</v>
      </c>
      <c r="I7" s="8">
        <v>159.0</v>
      </c>
      <c r="J7" s="8">
        <v>0.0</v>
      </c>
      <c r="K7" s="8">
        <v>0.0</v>
      </c>
      <c r="L7" s="55"/>
    </row>
    <row r="8" ht="22.5" customHeight="1">
      <c r="A8" s="4">
        <v>4.4980811E7</v>
      </c>
      <c r="B8" s="5" t="s">
        <v>815</v>
      </c>
      <c r="C8" s="5" t="s">
        <v>816</v>
      </c>
      <c r="D8" s="7">
        <v>6614.0</v>
      </c>
      <c r="E8" s="8">
        <v>133.0</v>
      </c>
      <c r="F8" s="8">
        <v>0.0</v>
      </c>
      <c r="G8" s="8">
        <v>0.0</v>
      </c>
      <c r="H8" s="8">
        <v>0.0</v>
      </c>
      <c r="I8" s="8">
        <v>133.0</v>
      </c>
      <c r="J8" s="8">
        <v>0.0</v>
      </c>
      <c r="K8" s="8">
        <v>0.0</v>
      </c>
      <c r="L8" s="55"/>
    </row>
    <row r="9" ht="22.5" customHeight="1">
      <c r="A9" s="4">
        <v>2.3837278E7</v>
      </c>
      <c r="B9" s="5" t="s">
        <v>819</v>
      </c>
      <c r="C9" s="5" t="s">
        <v>820</v>
      </c>
      <c r="D9" s="7">
        <v>12.0</v>
      </c>
      <c r="E9" s="8">
        <v>12.0</v>
      </c>
      <c r="F9" s="8">
        <v>0.0</v>
      </c>
      <c r="G9" s="8">
        <v>0.0</v>
      </c>
      <c r="H9" s="8">
        <v>11.0</v>
      </c>
      <c r="I9" s="8">
        <v>12.0</v>
      </c>
      <c r="J9" s="8">
        <v>0.0</v>
      </c>
      <c r="K9" s="8">
        <v>0.0</v>
      </c>
      <c r="L9" s="55"/>
    </row>
    <row r="10" ht="22.5" customHeight="1">
      <c r="A10" s="4">
        <v>3.4088892E7</v>
      </c>
      <c r="B10" s="5" t="s">
        <v>823</v>
      </c>
      <c r="C10" s="5" t="s">
        <v>824</v>
      </c>
      <c r="D10" s="7">
        <v>12216.0</v>
      </c>
      <c r="E10" s="8">
        <v>8.0</v>
      </c>
      <c r="F10" s="8">
        <v>0.0</v>
      </c>
      <c r="G10" s="8">
        <v>0.0</v>
      </c>
      <c r="H10" s="8">
        <v>7.0</v>
      </c>
      <c r="I10" s="8">
        <v>8.0</v>
      </c>
      <c r="J10" s="8">
        <v>0.0</v>
      </c>
      <c r="K10" s="8">
        <v>0.0</v>
      </c>
      <c r="L10" s="55"/>
    </row>
    <row r="11" ht="22.5" customHeight="1">
      <c r="A11" s="4">
        <v>4.2094688E7</v>
      </c>
      <c r="B11" s="5" t="s">
        <v>827</v>
      </c>
      <c r="C11" s="5" t="s">
        <v>828</v>
      </c>
      <c r="D11" s="7">
        <v>4637.0</v>
      </c>
      <c r="E11" s="8">
        <v>4.0</v>
      </c>
      <c r="F11" s="8">
        <v>0.0</v>
      </c>
      <c r="G11" s="8">
        <v>0.0</v>
      </c>
      <c r="H11" s="8">
        <v>0.0</v>
      </c>
      <c r="I11" s="8">
        <v>4.0</v>
      </c>
      <c r="J11" s="8">
        <v>0.0</v>
      </c>
      <c r="K11" s="8">
        <v>0.0</v>
      </c>
    </row>
    <row r="12" ht="22.5" customHeight="1">
      <c r="A12" s="4">
        <v>3.7125902E7</v>
      </c>
      <c r="B12" s="5" t="s">
        <v>831</v>
      </c>
      <c r="C12" s="5" t="s">
        <v>832</v>
      </c>
      <c r="D12" s="7">
        <v>1510.0</v>
      </c>
      <c r="E12" s="8">
        <v>1.0</v>
      </c>
      <c r="F12" s="8">
        <v>0.0</v>
      </c>
      <c r="G12" s="8">
        <v>0.0</v>
      </c>
      <c r="H12" s="8">
        <v>0.0</v>
      </c>
      <c r="I12" s="8">
        <v>1.0</v>
      </c>
      <c r="J12" s="8">
        <v>0.0</v>
      </c>
      <c r="K12" s="8">
        <v>0.0</v>
      </c>
      <c r="L12" s="55"/>
    </row>
    <row r="13" ht="22.5" customHeight="1">
      <c r="A13" s="4">
        <v>2.1340415E7</v>
      </c>
      <c r="B13" s="5" t="s">
        <v>835</v>
      </c>
      <c r="C13" s="5" t="s">
        <v>837</v>
      </c>
      <c r="D13" s="7">
        <v>30036.0</v>
      </c>
      <c r="E13" s="8">
        <v>1.0</v>
      </c>
      <c r="F13" s="8">
        <v>0.0</v>
      </c>
      <c r="G13" s="8">
        <v>0.0</v>
      </c>
      <c r="H13" s="8">
        <v>1.0</v>
      </c>
      <c r="I13" s="8">
        <v>1.0</v>
      </c>
      <c r="J13" s="8">
        <v>0.0</v>
      </c>
      <c r="K13" s="8">
        <v>0.0</v>
      </c>
      <c r="L13" s="55"/>
    </row>
    <row r="14" ht="22.5" customHeight="1">
      <c r="A14" s="4">
        <v>2.3654678E7</v>
      </c>
      <c r="B14" s="5" t="s">
        <v>841</v>
      </c>
      <c r="C14" s="5" t="s">
        <v>842</v>
      </c>
      <c r="D14" s="7">
        <v>2936.0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55"/>
    </row>
    <row r="15" ht="22.5" customHeight="1">
      <c r="A15" s="4">
        <v>3.9166097E7</v>
      </c>
      <c r="B15" s="5" t="s">
        <v>847</v>
      </c>
      <c r="C15" s="5" t="s">
        <v>848</v>
      </c>
      <c r="D15" s="7">
        <v>1443.0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55"/>
    </row>
    <row r="16" ht="22.5" customHeight="1">
      <c r="A16" s="4">
        <v>2.3838958E7</v>
      </c>
      <c r="B16" s="5" t="s">
        <v>855</v>
      </c>
      <c r="C16" s="5" t="s">
        <v>856</v>
      </c>
      <c r="D16" s="7">
        <v>7862.0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55"/>
    </row>
    <row r="17" ht="22.5" customHeight="1">
      <c r="A17" s="4">
        <v>3.7126089E7</v>
      </c>
      <c r="B17" s="5" t="s">
        <v>861</v>
      </c>
      <c r="C17" s="5" t="s">
        <v>862</v>
      </c>
      <c r="D17" s="7">
        <v>1500.0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0.0</v>
      </c>
      <c r="L17" s="55"/>
    </row>
    <row r="18" ht="22.5" customHeight="1">
      <c r="A18" s="4">
        <v>3.8701663E7</v>
      </c>
      <c r="B18" s="5" t="s">
        <v>869</v>
      </c>
      <c r="C18" s="5" t="s">
        <v>870</v>
      </c>
      <c r="D18" s="7">
        <v>407.0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55"/>
    </row>
    <row r="19" ht="22.5" customHeight="1">
      <c r="A19" s="4">
        <v>4.4446015E7</v>
      </c>
      <c r="B19" s="5" t="s">
        <v>873</v>
      </c>
      <c r="C19" s="5" t="s">
        <v>874</v>
      </c>
      <c r="D19" s="7">
        <v>164.0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55"/>
    </row>
    <row r="20" ht="22.5" customHeight="1">
      <c r="A20" s="4">
        <v>2.1338817E7</v>
      </c>
      <c r="B20" s="5" t="s">
        <v>877</v>
      </c>
      <c r="C20" s="5" t="s">
        <v>878</v>
      </c>
      <c r="D20" s="7">
        <v>20420.0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55"/>
    </row>
    <row r="21" ht="22.5" customHeight="1">
      <c r="A21" s="4">
        <v>2224063.0</v>
      </c>
      <c r="B21" s="5" t="s">
        <v>881</v>
      </c>
      <c r="C21" s="5" t="s">
        <v>882</v>
      </c>
      <c r="D21" s="7">
        <v>72795.0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</row>
    <row r="22" ht="22.5" customHeight="1">
      <c r="A22" s="4">
        <v>2.6430933E7</v>
      </c>
      <c r="B22" s="5" t="s">
        <v>885</v>
      </c>
      <c r="C22" s="5" t="s">
        <v>886</v>
      </c>
      <c r="D22" s="7">
        <v>3261.0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55"/>
    </row>
    <row r="23" ht="22.5" customHeight="1">
      <c r="A23" s="4">
        <v>3.6819377E7</v>
      </c>
      <c r="B23" s="5" t="s">
        <v>891</v>
      </c>
      <c r="C23" s="5" t="s">
        <v>892</v>
      </c>
      <c r="D23" s="7">
        <v>3484.0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</row>
    <row r="24" ht="22.5" customHeight="1">
      <c r="A24" s="31" t="s">
        <v>123</v>
      </c>
      <c r="B24" s="32"/>
      <c r="C24" s="32"/>
      <c r="D24" s="34">
        <f t="shared" ref="D24:K24" si="1">SUM(D2:D23)</f>
        <v>370695</v>
      </c>
      <c r="E24" s="34">
        <f t="shared" si="1"/>
        <v>6793</v>
      </c>
      <c r="F24" s="34">
        <f t="shared" si="1"/>
        <v>183685</v>
      </c>
      <c r="G24" s="34">
        <f t="shared" si="1"/>
        <v>1.48</v>
      </c>
      <c r="H24" s="34">
        <f t="shared" si="1"/>
        <v>4000</v>
      </c>
      <c r="I24" s="34">
        <f t="shared" si="1"/>
        <v>6744</v>
      </c>
      <c r="J24" s="34">
        <f t="shared" si="1"/>
        <v>49</v>
      </c>
      <c r="K24" s="34">
        <f t="shared" si="1"/>
        <v>49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</sheetData>
  <dataValidations>
    <dataValidation type="custom" allowBlank="1" showDropDown="1" sqref="A2:A24 D2:K2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54"/>
    </row>
    <row r="2" ht="22.5" customHeight="1">
      <c r="A2" s="5">
        <v>4812976.0</v>
      </c>
      <c r="B2" s="5" t="s">
        <v>817</v>
      </c>
      <c r="C2" s="5" t="s">
        <v>818</v>
      </c>
      <c r="D2" s="26">
        <v>0.0</v>
      </c>
      <c r="E2" s="26">
        <v>406.0</v>
      </c>
      <c r="F2" s="26">
        <v>0.0</v>
      </c>
      <c r="G2" s="26">
        <v>0.0</v>
      </c>
      <c r="H2" s="26">
        <v>387.0</v>
      </c>
      <c r="I2" s="26">
        <v>403.0</v>
      </c>
      <c r="J2" s="26">
        <v>1.0</v>
      </c>
      <c r="K2" s="26">
        <v>3.0</v>
      </c>
      <c r="L2" s="55"/>
    </row>
    <row r="3" ht="22.5" customHeight="1">
      <c r="A3" s="5">
        <v>2215087.0</v>
      </c>
      <c r="B3" s="5" t="s">
        <v>821</v>
      </c>
      <c r="C3" s="5" t="s">
        <v>822</v>
      </c>
      <c r="D3" s="28">
        <v>0.0</v>
      </c>
      <c r="E3" s="26">
        <v>2.0</v>
      </c>
      <c r="F3" s="26">
        <v>0.0</v>
      </c>
      <c r="G3" s="26">
        <v>0.0</v>
      </c>
      <c r="H3" s="26">
        <v>0.0</v>
      </c>
      <c r="I3" s="26">
        <v>2.0</v>
      </c>
      <c r="J3" s="26">
        <v>0.0</v>
      </c>
      <c r="K3" s="26">
        <v>0.0</v>
      </c>
      <c r="L3" s="55"/>
    </row>
    <row r="4" ht="22.5" customHeight="1">
      <c r="A4" s="5">
        <v>2.6535537E7</v>
      </c>
      <c r="B4" s="5" t="s">
        <v>825</v>
      </c>
      <c r="C4" s="5" t="s">
        <v>826</v>
      </c>
      <c r="D4" s="25">
        <v>98864.0</v>
      </c>
      <c r="E4" s="26">
        <v>0.0</v>
      </c>
      <c r="F4" s="25">
        <v>98864.0</v>
      </c>
      <c r="G4" s="26">
        <v>0.0</v>
      </c>
      <c r="H4" s="26">
        <v>0.0</v>
      </c>
      <c r="I4" s="26">
        <v>0.0</v>
      </c>
      <c r="J4" s="26">
        <v>0.0</v>
      </c>
      <c r="K4" s="26">
        <v>0.0</v>
      </c>
      <c r="L4" s="55"/>
    </row>
    <row r="5" ht="22.5" customHeight="1">
      <c r="A5" s="5">
        <v>4.4214645E7</v>
      </c>
      <c r="B5" s="5" t="s">
        <v>829</v>
      </c>
      <c r="C5" s="5" t="s">
        <v>830</v>
      </c>
      <c r="D5" s="28">
        <v>7498.0</v>
      </c>
      <c r="E5" s="26">
        <v>0.0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v>0.0</v>
      </c>
      <c r="L5" s="55"/>
    </row>
    <row r="6" ht="22.5" customHeight="1">
      <c r="A6" s="5">
        <v>2224117.0</v>
      </c>
      <c r="B6" s="5" t="s">
        <v>833</v>
      </c>
      <c r="C6" s="5" t="s">
        <v>834</v>
      </c>
      <c r="D6" s="28">
        <v>51608.0</v>
      </c>
      <c r="E6" s="26">
        <v>0.0</v>
      </c>
      <c r="F6" s="26">
        <v>0.0</v>
      </c>
      <c r="G6" s="26">
        <v>0.0</v>
      </c>
      <c r="H6" s="26">
        <v>0.0</v>
      </c>
      <c r="I6" s="26">
        <v>0.0</v>
      </c>
      <c r="J6" s="26">
        <v>0.0</v>
      </c>
      <c r="K6" s="26">
        <v>0.0</v>
      </c>
    </row>
    <row r="7" ht="22.5" customHeight="1">
      <c r="A7" s="31" t="s">
        <v>123</v>
      </c>
      <c r="B7" s="32"/>
      <c r="C7" s="32"/>
      <c r="D7" s="32">
        <f t="shared" ref="D7:K7" si="1">SUM(D2:D6)</f>
        <v>157970</v>
      </c>
      <c r="E7" s="32">
        <f t="shared" si="1"/>
        <v>408</v>
      </c>
      <c r="F7" s="32">
        <f t="shared" si="1"/>
        <v>98864</v>
      </c>
      <c r="G7" s="32">
        <f t="shared" si="1"/>
        <v>0</v>
      </c>
      <c r="H7" s="32">
        <f t="shared" si="1"/>
        <v>387</v>
      </c>
      <c r="I7" s="32">
        <f t="shared" si="1"/>
        <v>405</v>
      </c>
      <c r="J7" s="32">
        <f t="shared" si="1"/>
        <v>1</v>
      </c>
      <c r="K7" s="32">
        <f t="shared" si="1"/>
        <v>3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3" width="12.7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54"/>
    </row>
    <row r="2" ht="22.5" customHeight="1">
      <c r="A2" s="4">
        <v>2224181.0</v>
      </c>
      <c r="B2" s="5" t="s">
        <v>836</v>
      </c>
      <c r="C2" s="5" t="s">
        <v>838</v>
      </c>
      <c r="D2" s="7">
        <v>116258.0</v>
      </c>
      <c r="E2" s="8">
        <v>1241.0</v>
      </c>
      <c r="F2" s="8">
        <v>0.0</v>
      </c>
      <c r="G2" s="8">
        <v>0.0</v>
      </c>
      <c r="H2" s="8">
        <v>18.0</v>
      </c>
      <c r="I2" s="8">
        <v>1241.0</v>
      </c>
      <c r="J2" s="8">
        <v>0.0</v>
      </c>
      <c r="K2" s="8">
        <v>0.0</v>
      </c>
      <c r="L2" s="55"/>
    </row>
    <row r="3" ht="22.5" customHeight="1">
      <c r="A3" s="4">
        <v>2.142122E7</v>
      </c>
      <c r="B3" s="5" t="s">
        <v>839</v>
      </c>
      <c r="C3" s="5" t="s">
        <v>840</v>
      </c>
      <c r="D3" s="7">
        <v>13694.0</v>
      </c>
      <c r="E3" s="8">
        <v>1101.0</v>
      </c>
      <c r="F3" s="8">
        <v>0.0</v>
      </c>
      <c r="G3" s="8">
        <v>0.0</v>
      </c>
      <c r="H3" s="8">
        <v>51.0</v>
      </c>
      <c r="I3" s="8">
        <v>1101.0</v>
      </c>
      <c r="J3" s="8">
        <v>0.0</v>
      </c>
      <c r="K3" s="8">
        <v>0.0</v>
      </c>
      <c r="L3" s="55"/>
    </row>
    <row r="4" ht="22.5" customHeight="1">
      <c r="A4" s="4">
        <v>2.2840321E7</v>
      </c>
      <c r="B4" s="5" t="s">
        <v>845</v>
      </c>
      <c r="C4" s="5" t="s">
        <v>846</v>
      </c>
      <c r="D4" s="7">
        <v>14198.0</v>
      </c>
      <c r="E4" s="8">
        <v>1081.0</v>
      </c>
      <c r="F4" s="8">
        <v>0.0</v>
      </c>
      <c r="G4" s="8">
        <v>0.0</v>
      </c>
      <c r="H4" s="8">
        <v>1081.0</v>
      </c>
      <c r="I4" s="8">
        <v>1081.0</v>
      </c>
      <c r="J4" s="8">
        <v>0.0</v>
      </c>
      <c r="K4" s="8">
        <v>0.0</v>
      </c>
      <c r="L4" s="55"/>
    </row>
    <row r="5" ht="22.5" customHeight="1">
      <c r="A5" s="4">
        <v>5534350.0</v>
      </c>
      <c r="B5" s="5" t="s">
        <v>849</v>
      </c>
      <c r="C5" s="5" t="s">
        <v>850</v>
      </c>
      <c r="D5" s="7">
        <v>11004.0</v>
      </c>
      <c r="E5" s="8">
        <v>917.0</v>
      </c>
      <c r="F5" s="8">
        <v>0.0</v>
      </c>
      <c r="G5" s="8">
        <v>0.0</v>
      </c>
      <c r="H5" s="8">
        <v>146.0</v>
      </c>
      <c r="I5" s="8">
        <v>913.0</v>
      </c>
      <c r="J5" s="8">
        <v>0.0</v>
      </c>
      <c r="K5" s="8">
        <v>4.0</v>
      </c>
      <c r="L5" s="55"/>
    </row>
    <row r="6" ht="22.5" customHeight="1">
      <c r="A6" s="4">
        <v>4.5521941E7</v>
      </c>
      <c r="B6" s="5" t="s">
        <v>853</v>
      </c>
      <c r="C6" s="5" t="s">
        <v>854</v>
      </c>
      <c r="D6" s="7">
        <v>2746.0</v>
      </c>
      <c r="E6" s="8">
        <v>27.0</v>
      </c>
      <c r="F6" s="8">
        <v>0.0</v>
      </c>
      <c r="G6" s="8">
        <v>0.0</v>
      </c>
      <c r="H6" s="8">
        <v>0.0</v>
      </c>
      <c r="I6" s="8">
        <v>27.0</v>
      </c>
      <c r="J6" s="8">
        <v>0.0</v>
      </c>
      <c r="K6" s="8">
        <v>0.0</v>
      </c>
      <c r="L6" s="55"/>
    </row>
    <row r="7" ht="22.5" customHeight="1">
      <c r="A7" s="4">
        <v>2.5811053E7</v>
      </c>
      <c r="B7" s="5" t="s">
        <v>858</v>
      </c>
      <c r="C7" s="5" t="s">
        <v>860</v>
      </c>
      <c r="D7" s="8">
        <v>10160.0</v>
      </c>
      <c r="E7" s="8">
        <v>0.0</v>
      </c>
      <c r="F7" s="8">
        <v>10160.0</v>
      </c>
      <c r="G7" s="8">
        <v>0.0</v>
      </c>
      <c r="H7" s="8">
        <v>0.0</v>
      </c>
      <c r="I7" s="8">
        <v>0.0</v>
      </c>
      <c r="J7" s="8">
        <v>0.0</v>
      </c>
      <c r="K7" s="8">
        <v>0.0</v>
      </c>
      <c r="L7" s="55"/>
    </row>
    <row r="8" ht="22.5" customHeight="1">
      <c r="A8" s="4">
        <v>4.5508433E7</v>
      </c>
      <c r="B8" s="5" t="s">
        <v>863</v>
      </c>
      <c r="C8" s="5" t="s">
        <v>864</v>
      </c>
      <c r="D8" s="7">
        <v>2647.0</v>
      </c>
      <c r="E8" s="8">
        <v>0.0</v>
      </c>
      <c r="F8" s="8">
        <v>0.0</v>
      </c>
      <c r="G8" s="8">
        <v>0.0</v>
      </c>
      <c r="H8" s="8">
        <v>0.0</v>
      </c>
      <c r="I8" s="8">
        <v>0.0</v>
      </c>
      <c r="J8" s="8">
        <v>0.0</v>
      </c>
      <c r="K8" s="8">
        <v>0.0</v>
      </c>
      <c r="L8" s="55"/>
    </row>
    <row r="9" ht="22.5" customHeight="1">
      <c r="A9" s="4">
        <v>4.4409036E7</v>
      </c>
      <c r="B9" s="5" t="s">
        <v>867</v>
      </c>
      <c r="C9" s="5" t="s">
        <v>868</v>
      </c>
      <c r="D9" s="8">
        <v>0.0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</row>
    <row r="10" ht="22.5" customHeight="1">
      <c r="A10" s="31" t="s">
        <v>123</v>
      </c>
      <c r="B10" s="32"/>
      <c r="C10" s="32"/>
      <c r="D10" s="34">
        <f t="shared" ref="D10:K10" si="1">SUM(D2:D9)</f>
        <v>170707</v>
      </c>
      <c r="E10" s="34">
        <f t="shared" si="1"/>
        <v>4367</v>
      </c>
      <c r="F10" s="34">
        <f t="shared" si="1"/>
        <v>10160</v>
      </c>
      <c r="G10" s="34">
        <f t="shared" si="1"/>
        <v>0</v>
      </c>
      <c r="H10" s="34">
        <f t="shared" si="1"/>
        <v>1296</v>
      </c>
      <c r="I10" s="34">
        <f t="shared" si="1"/>
        <v>4363</v>
      </c>
      <c r="J10" s="34">
        <f t="shared" si="1"/>
        <v>0</v>
      </c>
      <c r="K10" s="34">
        <f t="shared" si="1"/>
        <v>4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</sheetData>
  <dataValidations>
    <dataValidation type="custom" allowBlank="1" showDropDown="1" sqref="A2:A10 D2:K1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4" max="4" width="15.63"/>
    <col customWidth="1" min="5" max="5" width="15.13"/>
    <col customWidth="1" min="6" max="6" width="15.88"/>
    <col customWidth="1" min="7" max="7" width="15.13"/>
    <col customWidth="1" min="8" max="11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54"/>
    </row>
    <row r="2" ht="22.5" customHeight="1">
      <c r="A2" s="4">
        <v>2.1408277E7</v>
      </c>
      <c r="B2" s="5" t="s">
        <v>843</v>
      </c>
      <c r="C2" s="5" t="s">
        <v>844</v>
      </c>
      <c r="D2" s="7">
        <v>14305.0</v>
      </c>
      <c r="E2" s="8">
        <v>1452.0</v>
      </c>
      <c r="F2" s="8">
        <v>0.0</v>
      </c>
      <c r="G2" s="8">
        <v>0.0</v>
      </c>
      <c r="H2" s="8">
        <v>1449.0</v>
      </c>
      <c r="I2" s="8">
        <v>1452.0</v>
      </c>
      <c r="J2" s="8">
        <v>0.0</v>
      </c>
      <c r="K2" s="8">
        <v>0.0</v>
      </c>
      <c r="L2" s="55"/>
    </row>
    <row r="3" ht="22.5" customHeight="1">
      <c r="A3" s="4">
        <v>2.2814631E7</v>
      </c>
      <c r="B3" s="5" t="s">
        <v>851</v>
      </c>
      <c r="C3" s="5" t="s">
        <v>852</v>
      </c>
      <c r="D3" s="8">
        <v>0.0</v>
      </c>
      <c r="E3" s="8">
        <v>1173.0</v>
      </c>
      <c r="F3" s="8">
        <v>0.0</v>
      </c>
      <c r="G3" s="8">
        <v>0.0</v>
      </c>
      <c r="H3" s="8">
        <v>931.0</v>
      </c>
      <c r="I3" s="8">
        <v>1077.0</v>
      </c>
      <c r="J3" s="8">
        <v>93.0</v>
      </c>
      <c r="K3" s="8">
        <v>96.0</v>
      </c>
      <c r="L3" s="55"/>
    </row>
    <row r="4" ht="22.5" customHeight="1">
      <c r="A4" s="4">
        <v>2138808.0</v>
      </c>
      <c r="B4" s="5" t="s">
        <v>857</v>
      </c>
      <c r="C4" s="5" t="s">
        <v>859</v>
      </c>
      <c r="D4" s="7">
        <v>9831.0</v>
      </c>
      <c r="E4" s="8">
        <v>337.0</v>
      </c>
      <c r="F4" s="8">
        <v>0.0</v>
      </c>
      <c r="G4" s="8">
        <v>0.0</v>
      </c>
      <c r="H4" s="8">
        <v>0.0</v>
      </c>
      <c r="I4" s="8">
        <v>337.0</v>
      </c>
      <c r="J4" s="8">
        <v>0.0</v>
      </c>
      <c r="K4" s="8">
        <v>0.0</v>
      </c>
      <c r="L4" s="55"/>
    </row>
    <row r="5" ht="22.5" customHeight="1">
      <c r="A5" s="4">
        <v>4813415.0</v>
      </c>
      <c r="B5" s="5" t="s">
        <v>865</v>
      </c>
      <c r="C5" s="5" t="s">
        <v>866</v>
      </c>
      <c r="D5" s="7">
        <v>27589.0</v>
      </c>
      <c r="E5" s="8">
        <v>225.0</v>
      </c>
      <c r="F5" s="8">
        <v>0.0</v>
      </c>
      <c r="G5" s="8">
        <v>0.0</v>
      </c>
      <c r="H5" s="8">
        <v>0.0</v>
      </c>
      <c r="I5" s="8">
        <v>225.0</v>
      </c>
      <c r="J5" s="8">
        <v>0.0</v>
      </c>
      <c r="K5" s="8">
        <v>0.0</v>
      </c>
      <c r="L5" s="55"/>
    </row>
    <row r="6" ht="22.5" customHeight="1">
      <c r="A6" s="4">
        <v>2498151.0</v>
      </c>
      <c r="B6" s="5" t="s">
        <v>871</v>
      </c>
      <c r="C6" s="5" t="s">
        <v>872</v>
      </c>
      <c r="D6" s="8">
        <v>0.0</v>
      </c>
      <c r="E6" s="8">
        <v>100.0</v>
      </c>
      <c r="F6" s="8">
        <v>0.0</v>
      </c>
      <c r="G6" s="8">
        <v>0.0</v>
      </c>
      <c r="H6" s="8">
        <v>95.0</v>
      </c>
      <c r="I6" s="8">
        <v>98.0</v>
      </c>
      <c r="J6" s="8">
        <v>0.0</v>
      </c>
      <c r="K6" s="8">
        <v>2.0</v>
      </c>
      <c r="L6" s="55"/>
    </row>
    <row r="7" ht="22.5" customHeight="1">
      <c r="A7" s="4">
        <v>2224175.0</v>
      </c>
      <c r="B7" s="5" t="s">
        <v>875</v>
      </c>
      <c r="C7" s="5" t="s">
        <v>876</v>
      </c>
      <c r="D7" s="7">
        <v>48593.0</v>
      </c>
      <c r="E7" s="8">
        <v>86.0</v>
      </c>
      <c r="F7" s="8">
        <v>0.0</v>
      </c>
      <c r="G7" s="8">
        <v>0.0</v>
      </c>
      <c r="H7" s="8">
        <v>39.0</v>
      </c>
      <c r="I7" s="8">
        <v>86.0</v>
      </c>
      <c r="J7" s="8">
        <v>0.0</v>
      </c>
      <c r="K7" s="8">
        <v>0.0</v>
      </c>
      <c r="L7" s="55"/>
    </row>
    <row r="8" ht="22.5" customHeight="1">
      <c r="A8" s="4">
        <v>2215420.0</v>
      </c>
      <c r="B8" s="5" t="s">
        <v>879</v>
      </c>
      <c r="C8" s="5" t="s">
        <v>880</v>
      </c>
      <c r="D8" s="8">
        <v>0.0</v>
      </c>
      <c r="E8" s="8">
        <v>2.0</v>
      </c>
      <c r="F8" s="8">
        <v>0.0</v>
      </c>
      <c r="G8" s="8">
        <v>0.0</v>
      </c>
      <c r="H8" s="8">
        <v>1.0</v>
      </c>
      <c r="I8" s="8">
        <v>2.0</v>
      </c>
      <c r="J8" s="8">
        <v>0.0</v>
      </c>
      <c r="K8" s="8">
        <v>0.0</v>
      </c>
      <c r="L8" s="55"/>
    </row>
    <row r="9" ht="22.5" customHeight="1">
      <c r="A9" s="4">
        <v>2226375.0</v>
      </c>
      <c r="B9" s="5" t="s">
        <v>883</v>
      </c>
      <c r="C9" s="5" t="s">
        <v>884</v>
      </c>
      <c r="D9" s="8">
        <v>133281.0</v>
      </c>
      <c r="E9" s="8">
        <v>2.0</v>
      </c>
      <c r="F9" s="8">
        <v>133279.0</v>
      </c>
      <c r="G9" s="8">
        <v>0.0</v>
      </c>
      <c r="H9" s="8">
        <v>2.0</v>
      </c>
      <c r="I9" s="8">
        <v>2.0</v>
      </c>
      <c r="J9" s="8">
        <v>0.0</v>
      </c>
      <c r="K9" s="8">
        <v>0.0</v>
      </c>
      <c r="L9" s="55"/>
    </row>
    <row r="10" ht="22.5" customHeight="1">
      <c r="A10" s="4">
        <v>3.6272162E7</v>
      </c>
      <c r="B10" s="5" t="s">
        <v>887</v>
      </c>
      <c r="C10" s="5" t="s">
        <v>888</v>
      </c>
      <c r="D10" s="7">
        <v>2257.0</v>
      </c>
      <c r="E10" s="8">
        <v>0.0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60"/>
    </row>
    <row r="11" ht="22.5" customHeight="1">
      <c r="A11" s="4">
        <v>2224169.0</v>
      </c>
      <c r="B11" s="5" t="s">
        <v>893</v>
      </c>
      <c r="C11" s="5" t="s">
        <v>894</v>
      </c>
      <c r="D11" s="7">
        <v>6210.0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</row>
    <row r="12" ht="22.5" customHeight="1">
      <c r="A12" s="31" t="s">
        <v>123</v>
      </c>
      <c r="B12" s="32"/>
      <c r="C12" s="32"/>
      <c r="D12" s="34">
        <f t="shared" ref="D12:K12" si="1">SUM(D2:D11)</f>
        <v>242066</v>
      </c>
      <c r="E12" s="34">
        <f t="shared" si="1"/>
        <v>3377</v>
      </c>
      <c r="F12" s="34">
        <f t="shared" si="1"/>
        <v>133279</v>
      </c>
      <c r="G12" s="34">
        <f t="shared" si="1"/>
        <v>0</v>
      </c>
      <c r="H12" s="34">
        <f t="shared" si="1"/>
        <v>2517</v>
      </c>
      <c r="I12" s="34">
        <f t="shared" si="1"/>
        <v>3279</v>
      </c>
      <c r="J12" s="34">
        <f t="shared" si="1"/>
        <v>93</v>
      </c>
      <c r="K12" s="34">
        <f t="shared" si="1"/>
        <v>98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</sheetData>
  <dataValidations>
    <dataValidation type="custom" allowBlank="1" showDropDown="1" sqref="A2:A12 D2:K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1.63"/>
    <col customWidth="1" min="3" max="3" width="19.63"/>
    <col customWidth="1" min="4" max="4" width="15.63"/>
    <col customWidth="1" min="5" max="5" width="15.13"/>
    <col customWidth="1" min="6" max="6" width="15.88"/>
    <col customWidth="1" min="7" max="7" width="15.13"/>
    <col customWidth="1" min="8" max="8" width="17.25"/>
    <col customWidth="1" min="9" max="9" width="15.75"/>
    <col customWidth="1" min="10" max="10" width="17.88"/>
    <col customWidth="1" min="11" max="11" width="1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54"/>
    </row>
    <row r="2" ht="22.5" customHeight="1">
      <c r="A2" s="4">
        <v>2224301.0</v>
      </c>
      <c r="B2" s="5" t="s">
        <v>889</v>
      </c>
      <c r="C2" s="5" t="s">
        <v>890</v>
      </c>
      <c r="D2" s="7">
        <v>20071.0</v>
      </c>
      <c r="E2" s="8">
        <v>24913.0</v>
      </c>
      <c r="F2" s="8">
        <v>0.0</v>
      </c>
      <c r="G2" s="8">
        <v>0.0</v>
      </c>
      <c r="H2" s="8">
        <v>0.0</v>
      </c>
      <c r="I2" s="8">
        <v>24790.0</v>
      </c>
      <c r="J2" s="8">
        <v>0.0</v>
      </c>
      <c r="K2" s="8">
        <v>123.0</v>
      </c>
      <c r="L2" s="55"/>
    </row>
    <row r="3" ht="22.5" customHeight="1">
      <c r="A3" s="4">
        <v>2.2999978E7</v>
      </c>
      <c r="B3" s="5" t="s">
        <v>895</v>
      </c>
      <c r="C3" s="5" t="s">
        <v>896</v>
      </c>
      <c r="D3" s="8">
        <v>0.0</v>
      </c>
      <c r="E3" s="8">
        <v>1971.0</v>
      </c>
      <c r="F3" s="8">
        <v>0.0</v>
      </c>
      <c r="G3" s="8">
        <v>0.0</v>
      </c>
      <c r="H3" s="8">
        <v>13.0</v>
      </c>
      <c r="I3" s="8">
        <v>1971.0</v>
      </c>
      <c r="J3" s="8">
        <v>0.0</v>
      </c>
      <c r="K3" s="8">
        <v>0.0</v>
      </c>
      <c r="L3" s="55"/>
    </row>
    <row r="4" ht="22.5" customHeight="1">
      <c r="A4" s="4">
        <v>3.6588948E7</v>
      </c>
      <c r="B4" s="5" t="s">
        <v>897</v>
      </c>
      <c r="C4" s="5" t="s">
        <v>898</v>
      </c>
      <c r="D4" s="8">
        <v>0.0</v>
      </c>
      <c r="E4" s="8">
        <v>689.0</v>
      </c>
      <c r="F4" s="8">
        <v>0.0</v>
      </c>
      <c r="G4" s="8">
        <v>0.0</v>
      </c>
      <c r="H4" s="8">
        <v>330.0</v>
      </c>
      <c r="I4" s="8">
        <v>686.0</v>
      </c>
      <c r="J4" s="8">
        <v>2.0</v>
      </c>
      <c r="K4" s="8">
        <v>3.0</v>
      </c>
      <c r="L4" s="55"/>
    </row>
    <row r="5" ht="22.5" customHeight="1">
      <c r="A5" s="4">
        <v>2224241.0</v>
      </c>
      <c r="B5" s="5" t="s">
        <v>899</v>
      </c>
      <c r="C5" s="5" t="s">
        <v>900</v>
      </c>
      <c r="D5" s="8">
        <v>0.0</v>
      </c>
      <c r="E5" s="8">
        <v>673.0</v>
      </c>
      <c r="F5" s="8">
        <v>0.0</v>
      </c>
      <c r="G5" s="8">
        <v>0.0</v>
      </c>
      <c r="H5" s="8">
        <v>0.0</v>
      </c>
      <c r="I5" s="8">
        <v>670.0</v>
      </c>
      <c r="J5" s="8">
        <v>0.0</v>
      </c>
      <c r="K5" s="8">
        <v>3.0</v>
      </c>
      <c r="L5" s="55"/>
    </row>
    <row r="6" ht="22.5" customHeight="1">
      <c r="A6" s="4">
        <v>2.007326E7</v>
      </c>
      <c r="B6" s="5" t="s">
        <v>901</v>
      </c>
      <c r="C6" s="5" t="s">
        <v>902</v>
      </c>
      <c r="D6" s="8">
        <v>67111.0</v>
      </c>
      <c r="E6" s="8">
        <v>476.0</v>
      </c>
      <c r="F6" s="8">
        <v>66635.0</v>
      </c>
      <c r="G6" s="8">
        <v>0.71</v>
      </c>
      <c r="H6" s="8">
        <v>0.0</v>
      </c>
      <c r="I6" s="8">
        <v>215.0</v>
      </c>
      <c r="J6" s="8">
        <v>40.0</v>
      </c>
      <c r="K6" s="8">
        <v>261.0</v>
      </c>
      <c r="L6" s="55"/>
    </row>
    <row r="7" ht="22.5" customHeight="1">
      <c r="A7" s="4">
        <v>2224293.0</v>
      </c>
      <c r="B7" s="5" t="s">
        <v>903</v>
      </c>
      <c r="C7" s="5" t="s">
        <v>904</v>
      </c>
      <c r="D7" s="7">
        <v>13829.0</v>
      </c>
      <c r="E7" s="8">
        <v>315.0</v>
      </c>
      <c r="F7" s="8">
        <v>0.0</v>
      </c>
      <c r="G7" s="8">
        <v>0.0</v>
      </c>
      <c r="H7" s="8">
        <v>0.0</v>
      </c>
      <c r="I7" s="8">
        <v>315.0</v>
      </c>
      <c r="J7" s="8">
        <v>0.0</v>
      </c>
      <c r="K7" s="8">
        <v>0.0</v>
      </c>
      <c r="L7" s="55"/>
    </row>
    <row r="8" ht="22.5" customHeight="1">
      <c r="A8" s="4">
        <v>4.5828958E7</v>
      </c>
      <c r="B8" s="5" t="s">
        <v>905</v>
      </c>
      <c r="C8" s="5" t="s">
        <v>906</v>
      </c>
      <c r="D8" s="8">
        <v>0.0</v>
      </c>
      <c r="E8" s="8">
        <v>215.0</v>
      </c>
      <c r="F8" s="8">
        <v>0.0</v>
      </c>
      <c r="G8" s="8">
        <v>0.0</v>
      </c>
      <c r="H8" s="8">
        <v>198.0</v>
      </c>
      <c r="I8" s="8">
        <v>215.0</v>
      </c>
      <c r="J8" s="8">
        <v>0.0</v>
      </c>
      <c r="K8" s="8">
        <v>0.0</v>
      </c>
      <c r="L8" s="55"/>
    </row>
    <row r="9" ht="22.5" customHeight="1">
      <c r="A9" s="4">
        <v>3.2071423E7</v>
      </c>
      <c r="B9" s="5" t="s">
        <v>907</v>
      </c>
      <c r="C9" s="5" t="s">
        <v>908</v>
      </c>
      <c r="D9" s="7">
        <v>81259.0</v>
      </c>
      <c r="E9" s="8">
        <v>215.0</v>
      </c>
      <c r="F9" s="8">
        <v>0.0</v>
      </c>
      <c r="G9" s="8">
        <v>0.0</v>
      </c>
      <c r="H9" s="8">
        <v>199.0</v>
      </c>
      <c r="I9" s="8">
        <v>215.0</v>
      </c>
      <c r="J9" s="8">
        <v>0.0</v>
      </c>
      <c r="K9" s="8">
        <v>0.0</v>
      </c>
      <c r="L9" s="55"/>
    </row>
    <row r="10" ht="22.5" customHeight="1">
      <c r="A10" s="4">
        <v>2224229.0</v>
      </c>
      <c r="B10" s="5" t="s">
        <v>909</v>
      </c>
      <c r="C10" s="5" t="s">
        <v>910</v>
      </c>
      <c r="D10" s="7">
        <v>23068.0</v>
      </c>
      <c r="E10" s="8">
        <v>185.0</v>
      </c>
      <c r="F10" s="8">
        <v>0.0</v>
      </c>
      <c r="G10" s="8">
        <v>0.0</v>
      </c>
      <c r="H10" s="8">
        <v>63.0</v>
      </c>
      <c r="I10" s="8">
        <v>185.0</v>
      </c>
      <c r="J10" s="8">
        <v>0.0</v>
      </c>
      <c r="K10" s="8">
        <v>0.0</v>
      </c>
      <c r="L10" s="55"/>
    </row>
    <row r="11" ht="22.5" customHeight="1">
      <c r="A11" s="4">
        <v>2498145.0</v>
      </c>
      <c r="B11" s="5" t="s">
        <v>911</v>
      </c>
      <c r="C11" s="5" t="s">
        <v>912</v>
      </c>
      <c r="D11" s="8">
        <v>0.0</v>
      </c>
      <c r="E11" s="8">
        <v>159.0</v>
      </c>
      <c r="F11" s="8">
        <v>0.0</v>
      </c>
      <c r="G11" s="8">
        <v>0.0</v>
      </c>
      <c r="H11" s="8">
        <v>0.0</v>
      </c>
      <c r="I11" s="8">
        <v>0.0</v>
      </c>
      <c r="J11" s="8">
        <v>130.0</v>
      </c>
      <c r="K11" s="8">
        <v>159.0</v>
      </c>
    </row>
    <row r="12" ht="22.5" customHeight="1">
      <c r="A12" s="4">
        <v>2.4520773E7</v>
      </c>
      <c r="B12" s="5" t="s">
        <v>913</v>
      </c>
      <c r="C12" s="5" t="s">
        <v>914</v>
      </c>
      <c r="D12" s="8">
        <v>0.0</v>
      </c>
      <c r="E12" s="8">
        <v>148.0</v>
      </c>
      <c r="F12" s="8">
        <v>0.0</v>
      </c>
      <c r="G12" s="8">
        <v>0.0</v>
      </c>
      <c r="H12" s="8">
        <v>139.0</v>
      </c>
      <c r="I12" s="8">
        <v>148.0</v>
      </c>
      <c r="J12" s="8">
        <v>0.0</v>
      </c>
      <c r="K12" s="8">
        <v>0.0</v>
      </c>
      <c r="L12" s="55"/>
    </row>
    <row r="13" ht="22.5" customHeight="1">
      <c r="A13" s="4">
        <v>2.15988E7</v>
      </c>
      <c r="B13" s="5" t="s">
        <v>915</v>
      </c>
      <c r="C13" s="5" t="s">
        <v>916</v>
      </c>
      <c r="D13" s="8">
        <v>0.0</v>
      </c>
      <c r="E13" s="8">
        <v>85.0</v>
      </c>
      <c r="F13" s="8">
        <v>0.0</v>
      </c>
      <c r="G13" s="8">
        <v>0.0</v>
      </c>
      <c r="H13" s="8">
        <v>85.0</v>
      </c>
      <c r="I13" s="8">
        <v>85.0</v>
      </c>
      <c r="J13" s="8">
        <v>0.0</v>
      </c>
      <c r="K13" s="8">
        <v>0.0</v>
      </c>
      <c r="L13" s="55"/>
    </row>
    <row r="14" ht="22.5" customHeight="1">
      <c r="A14" s="4">
        <v>5534195.0</v>
      </c>
      <c r="B14" s="5" t="s">
        <v>917</v>
      </c>
      <c r="C14" s="5" t="s">
        <v>918</v>
      </c>
      <c r="D14" s="7">
        <v>319556.0</v>
      </c>
      <c r="E14" s="8">
        <v>79.0</v>
      </c>
      <c r="F14" s="8">
        <v>0.0</v>
      </c>
      <c r="G14" s="8">
        <v>0.0</v>
      </c>
      <c r="H14" s="8">
        <v>76.0</v>
      </c>
      <c r="I14" s="8">
        <v>79.0</v>
      </c>
      <c r="J14" s="8">
        <v>0.0</v>
      </c>
      <c r="K14" s="8">
        <v>0.0</v>
      </c>
      <c r="L14" s="55"/>
    </row>
    <row r="15" ht="22.5" customHeight="1">
      <c r="A15" s="4">
        <v>2215414.0</v>
      </c>
      <c r="B15" s="5" t="s">
        <v>919</v>
      </c>
      <c r="C15" s="5" t="s">
        <v>920</v>
      </c>
      <c r="D15" s="8">
        <v>49501.0</v>
      </c>
      <c r="E15" s="8">
        <v>23.0</v>
      </c>
      <c r="F15" s="8">
        <v>49478.0</v>
      </c>
      <c r="G15" s="8">
        <v>0.05</v>
      </c>
      <c r="H15" s="8">
        <v>22.0</v>
      </c>
      <c r="I15" s="8">
        <v>23.0</v>
      </c>
      <c r="J15" s="8">
        <v>0.0</v>
      </c>
      <c r="K15" s="8">
        <v>0.0</v>
      </c>
      <c r="L15" s="55"/>
    </row>
    <row r="16" ht="22.5" customHeight="1">
      <c r="A16" s="4">
        <v>2226103.0</v>
      </c>
      <c r="B16" s="5" t="s">
        <v>921</v>
      </c>
      <c r="C16" s="5" t="s">
        <v>922</v>
      </c>
      <c r="D16" s="8">
        <v>1000000.0</v>
      </c>
      <c r="E16" s="8">
        <v>18.0</v>
      </c>
      <c r="F16" s="8">
        <v>999982.0</v>
      </c>
      <c r="G16" s="8">
        <v>0.0</v>
      </c>
      <c r="H16" s="8">
        <v>9.0</v>
      </c>
      <c r="I16" s="8">
        <v>18.0</v>
      </c>
      <c r="J16" s="8">
        <v>0.0</v>
      </c>
      <c r="K16" s="8">
        <v>0.0</v>
      </c>
      <c r="L16" s="55"/>
    </row>
    <row r="17" ht="22.5" customHeight="1">
      <c r="A17" s="4">
        <v>3.5371053E7</v>
      </c>
      <c r="B17" s="5" t="s">
        <v>923</v>
      </c>
      <c r="C17" s="5" t="s">
        <v>924</v>
      </c>
      <c r="D17" s="8">
        <v>0.0</v>
      </c>
      <c r="E17" s="8">
        <v>17.0</v>
      </c>
      <c r="F17" s="8">
        <v>0.0</v>
      </c>
      <c r="G17" s="8">
        <v>0.0</v>
      </c>
      <c r="H17" s="8">
        <v>0.0</v>
      </c>
      <c r="I17" s="8">
        <v>17.0</v>
      </c>
      <c r="J17" s="8">
        <v>0.0</v>
      </c>
      <c r="K17" s="8">
        <v>0.0</v>
      </c>
      <c r="L17" s="55"/>
    </row>
    <row r="18" ht="22.5" customHeight="1">
      <c r="A18" s="4">
        <v>2226116.0</v>
      </c>
      <c r="B18" s="5" t="s">
        <v>925</v>
      </c>
      <c r="C18" s="5" t="s">
        <v>926</v>
      </c>
      <c r="D18" s="8">
        <v>0.0</v>
      </c>
      <c r="E18" s="8">
        <v>11.0</v>
      </c>
      <c r="F18" s="8">
        <v>0.0</v>
      </c>
      <c r="G18" s="8">
        <v>0.0</v>
      </c>
      <c r="H18" s="8">
        <v>2.0</v>
      </c>
      <c r="I18" s="8">
        <v>10.0</v>
      </c>
      <c r="J18" s="8">
        <v>0.0</v>
      </c>
      <c r="K18" s="8">
        <v>1.0</v>
      </c>
      <c r="L18" s="55"/>
    </row>
    <row r="19" ht="22.5" customHeight="1">
      <c r="A19" s="4">
        <v>2224330.0</v>
      </c>
      <c r="B19" s="5" t="s">
        <v>927</v>
      </c>
      <c r="C19" s="5" t="s">
        <v>928</v>
      </c>
      <c r="D19" s="8">
        <v>40000.0</v>
      </c>
      <c r="E19" s="8">
        <v>11.0</v>
      </c>
      <c r="F19" s="8">
        <v>39989.0</v>
      </c>
      <c r="G19" s="8">
        <v>0.03</v>
      </c>
      <c r="H19" s="8">
        <v>9.0</v>
      </c>
      <c r="I19" s="8">
        <v>11.0</v>
      </c>
      <c r="J19" s="8">
        <v>0.0</v>
      </c>
      <c r="K19" s="8">
        <v>0.0</v>
      </c>
      <c r="L19" s="55"/>
    </row>
    <row r="20" ht="22.5" customHeight="1">
      <c r="A20" s="4">
        <v>3922125.0</v>
      </c>
      <c r="B20" s="5" t="s">
        <v>929</v>
      </c>
      <c r="C20" s="5" t="s">
        <v>930</v>
      </c>
      <c r="D20" s="8">
        <v>0.0</v>
      </c>
      <c r="E20" s="8">
        <v>6.0</v>
      </c>
      <c r="F20" s="8">
        <v>0.0</v>
      </c>
      <c r="G20" s="8">
        <v>0.0</v>
      </c>
      <c r="H20" s="8">
        <v>0.0</v>
      </c>
      <c r="I20" s="8">
        <v>6.0</v>
      </c>
      <c r="J20" s="8">
        <v>0.0</v>
      </c>
      <c r="K20" s="8">
        <v>0.0</v>
      </c>
      <c r="L20" s="55"/>
    </row>
    <row r="21" ht="22.5" customHeight="1">
      <c r="A21" s="4">
        <v>4.022387E7</v>
      </c>
      <c r="B21" s="5" t="s">
        <v>931</v>
      </c>
      <c r="C21" s="5" t="s">
        <v>932</v>
      </c>
      <c r="D21" s="8">
        <v>0.0</v>
      </c>
      <c r="E21" s="8">
        <v>4.0</v>
      </c>
      <c r="F21" s="8">
        <v>0.0</v>
      </c>
      <c r="G21" s="8">
        <v>0.0</v>
      </c>
      <c r="H21" s="8">
        <v>0.0</v>
      </c>
      <c r="I21" s="8">
        <v>4.0</v>
      </c>
      <c r="J21" s="8">
        <v>0.0</v>
      </c>
      <c r="K21" s="8">
        <v>0.0</v>
      </c>
    </row>
    <row r="22" ht="22.5" customHeight="1">
      <c r="A22" s="4">
        <v>3.2071418E7</v>
      </c>
      <c r="B22" s="5" t="s">
        <v>933</v>
      </c>
      <c r="C22" s="5" t="s">
        <v>934</v>
      </c>
      <c r="D22" s="8">
        <v>261955.0</v>
      </c>
      <c r="E22" s="8">
        <v>1.0</v>
      </c>
      <c r="F22" s="8">
        <v>261954.0</v>
      </c>
      <c r="G22" s="8">
        <v>0.0</v>
      </c>
      <c r="H22" s="8">
        <v>0.0</v>
      </c>
      <c r="I22" s="8">
        <v>1.0</v>
      </c>
      <c r="J22" s="8">
        <v>0.0</v>
      </c>
      <c r="K22" s="8">
        <v>0.0</v>
      </c>
      <c r="L22" s="55"/>
    </row>
    <row r="23" ht="22.5" customHeight="1">
      <c r="A23" s="4">
        <v>2070944.0</v>
      </c>
      <c r="B23" s="5" t="s">
        <v>935</v>
      </c>
      <c r="C23" s="5" t="s">
        <v>936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55"/>
    </row>
    <row r="24" ht="22.5" customHeight="1">
      <c r="A24" s="4">
        <v>3.5442078E7</v>
      </c>
      <c r="B24" s="5" t="s">
        <v>937</v>
      </c>
      <c r="C24" s="5" t="s">
        <v>938</v>
      </c>
      <c r="D24" s="8">
        <v>0.0</v>
      </c>
      <c r="E24" s="8">
        <v>0.0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55"/>
    </row>
    <row r="25" ht="22.5" customHeight="1">
      <c r="A25" s="4">
        <v>2.165717E7</v>
      </c>
      <c r="B25" s="5" t="s">
        <v>939</v>
      </c>
      <c r="C25" s="5" t="s">
        <v>940</v>
      </c>
      <c r="D25" s="7">
        <v>28200.0</v>
      </c>
      <c r="E25" s="8">
        <v>0.0</v>
      </c>
      <c r="F25" s="8">
        <v>0.0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55"/>
    </row>
    <row r="26" ht="22.5" customHeight="1">
      <c r="A26" s="4">
        <v>3494296.0</v>
      </c>
      <c r="B26" s="5" t="s">
        <v>941</v>
      </c>
      <c r="C26" s="5" t="s">
        <v>942</v>
      </c>
      <c r="D26" s="8">
        <v>0.0</v>
      </c>
      <c r="E26" s="8">
        <v>0.0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</row>
    <row r="27" ht="22.5" customHeight="1">
      <c r="A27" s="31" t="s">
        <v>123</v>
      </c>
      <c r="B27" s="32"/>
      <c r="C27" s="32"/>
      <c r="D27" s="34">
        <f t="shared" ref="D27:K27" si="1">SUM(D2:D26)</f>
        <v>1904550</v>
      </c>
      <c r="E27" s="34">
        <f t="shared" si="1"/>
        <v>30214</v>
      </c>
      <c r="F27" s="34">
        <f t="shared" si="1"/>
        <v>1418038</v>
      </c>
      <c r="G27" s="34">
        <f t="shared" si="1"/>
        <v>0.79</v>
      </c>
      <c r="H27" s="34">
        <f t="shared" si="1"/>
        <v>1145</v>
      </c>
      <c r="I27" s="34">
        <f t="shared" si="1"/>
        <v>29664</v>
      </c>
      <c r="J27" s="34">
        <f t="shared" si="1"/>
        <v>172</v>
      </c>
      <c r="K27" s="34">
        <f t="shared" si="1"/>
        <v>550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</sheetData>
  <dataValidations>
    <dataValidation type="custom" allowBlank="1" showDropDown="1" sqref="A2:A27 D2:K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